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6169015e4f4a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4e9f50f88d9d4dbf"/>
    <x:sheet xmlns:r="http://schemas.openxmlformats.org/officeDocument/2006/relationships" name="Product Backlog" sheetId="2" r:id="R59e62d9a4f2d4b3b"/>
    <x:sheet xmlns:r="http://schemas.openxmlformats.org/officeDocument/2006/relationships" name="Sprint Plan" sheetId="3" r:id="R49c0fede976c4c7d"/>
    <x:sheet xmlns:r="http://schemas.openxmlformats.org/officeDocument/2006/relationships" name="Status &amp; Transisi" sheetId="4" r:id="Ra154998ec00c4549"/>
    <x:sheet xmlns:r="http://schemas.openxmlformats.org/officeDocument/2006/relationships" name="Master Data Seed" sheetId="5" r:id="R001968aa374a4382"/>
    <x:sheet xmlns:r="http://schemas.openxmlformats.org/officeDocument/2006/relationships" name="DoR &amp; DoD" sheetId="6" r:id="R2d8d64e8169a49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"/>
    <x:numFmt numFmtId="202" formatCode="&quot;Rp&quot; #,##0"/>
  </x:numFmts>
  <x:fonts count="2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0B5E3B"/>
      <x:name val="Carlito"/>
    </x:font>
    <x:font>
      <x:b/>
      <x:sz val="10"/>
      <x:color rgb="FFFFFFFF"/>
      <x:name val="Carlito"/>
    </x:font>
    <x:font>
      <x:sz val="11"/>
      <x:color rgb="FF2A2E2B"/>
      <x:name val="Carlito"/>
    </x:font>
    <x:font>
      <x:b/>
      <x:sz val="12"/>
      <x:color rgb="FF0B5E3B"/>
      <x:name val="Carlito"/>
    </x:font>
    <x:font>
      <x:b/>
      <x:sz val="12"/>
      <x:color rgb="FFB8860B"/>
      <x:name val="Carlito"/>
    </x:font>
    <x:font>
      <x:sz val="10"/>
      <x:color rgb="FF2A2E2B"/>
      <x:name val="Carlito"/>
    </x:font>
    <x:font>
      <x:sz val="9"/>
      <x:color rgb="FF2A2E2B"/>
      <x:name val="Carlito"/>
    </x:font>
    <x:font>
      <x:b/>
      <x:sz val="18"/>
      <x:color rgb="FFFFFFFF"/>
      <x:name val="Aptos"/>
    </x:font>
    <x:font>
      <x:i/>
      <x:sz val="10"/>
      <x:color rgb="FF0B5E3B"/>
      <x:name val="Aptos"/>
    </x:font>
    <x:font>
      <x:sz val="11"/>
      <x:name val="Aptos"/>
    </x:font>
    <x:font>
      <x:b/>
      <x:sz val="10"/>
      <x:color rgb="FFFFFFFF"/>
      <x:name val="Aptos"/>
    </x:font>
    <x:font>
      <x:sz val="11"/>
      <x:color rgb="FF2A2E2B"/>
      <x:name val="Aptos"/>
    </x:font>
    <x:font>
      <x:b/>
      <x:sz val="12"/>
      <x:color rgb="FF0B5E3B"/>
      <x:name val="Aptos"/>
    </x:font>
    <x:font>
      <x:sz val="10"/>
      <x:color rgb="FF2A2E2B"/>
      <x:name val="Aptos"/>
    </x:font>
    <x:font>
      <x:b/>
      <x:sz val="12"/>
      <x:color rgb="FFB8860B"/>
      <x:name val="Aptos"/>
    </x:font>
    <x:font>
      <x:sz val="9"/>
      <x:color rgb="FF2A2E2B"/>
      <x:name val="Aptos"/>
    </x:font>
    <x:font>
      <x:b/>
      <x:sz val="9"/>
      <x:color rgb="FF0B5E3B"/>
      <x:name val="Carlito"/>
    </x:font>
    <x:font>
      <x:b/>
      <x:sz val="9"/>
      <x:color rgb="FF0B5E3B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0B5E3B"/>
      </x:patternFill>
    </x:fill>
    <x:fill>
      <x:patternFill patternType="solid">
        <x:fgColor rgb="FFE3F3EA"/>
      </x:patternFill>
    </x:fill>
    <x:fill>
      <x:patternFill patternType="solid">
        <x:fgColor rgb="FF1B7A4D"/>
      </x:patternFill>
    </x:fill>
    <x:fill>
      <x:patternFill patternType="solid">
        <x:fgColor rgb="FFFFFFFF"/>
      </x:patternFill>
    </x:fill>
    <x:fill>
      <x:patternFill patternType="solid">
        <x:fgColor rgb="FFFBF6E7"/>
      </x:patternFill>
    </x:fill>
  </x:fills>
  <x:borders count="15">
    <x:border/>
    <x:border>
      <x:left style="thin">
        <x:color rgb="FF0B5E3B"/>
      </x:left>
      <x:top style="thin">
        <x:color rgb="FF0B5E3B"/>
      </x:top>
      <x:bottom style="thin">
        <x:color rgb="FF0B5E3B"/>
      </x:bottom>
    </x:border>
    <x:border>
      <x:right style="thin">
        <x:color rgb="FF0B5E3B"/>
      </x:right>
      <x:top style="thin">
        <x:color rgb="FF0B5E3B"/>
      </x:top>
      <x:bottom style="thin">
        <x:color rgb="FF0B5E3B"/>
      </x:bottom>
    </x:border>
    <x:border>
      <x:left style="thin">
        <x:color rgb="FFD9E2DD"/>
      </x:left>
      <x:right style="thin">
        <x:color rgb="FFD9E2DD"/>
      </x:right>
      <x:top style="thin">
        <x:color rgb="FFD9E2DD"/>
      </x:top>
      <x:bottom style="thin">
        <x:color rgb="FFD9E2DD"/>
      </x:bottom>
    </x:border>
    <x:border>
      <x:top style="thin">
        <x:color rgb="FF0B5E3B"/>
      </x:top>
      <x:bottom style="thin">
        <x:color rgb="FF0B5E3B"/>
      </x:bottom>
    </x:border>
    <x:border>
      <x:left style="thin">
        <x:color rgb="FFE6D39B"/>
      </x:left>
      <x:top style="thin">
        <x:color rgb="FFE6D39B"/>
      </x:top>
    </x:border>
    <x:border>
      <x:top style="thin">
        <x:color rgb="FFE6D39B"/>
      </x:top>
    </x:border>
    <x:border>
      <x:right style="thin">
        <x:color rgb="FFE6D39B"/>
      </x:right>
      <x:top style="thin">
        <x:color rgb="FFE6D39B"/>
      </x:top>
    </x:border>
    <x:border>
      <x:left style="thin">
        <x:color rgb="FFE6D39B"/>
      </x:left>
    </x:border>
    <x:border>
      <x:right style="thin">
        <x:color rgb="FFE6D39B"/>
      </x:right>
    </x:border>
    <x:border>
      <x:left style="thin">
        <x:color rgb="FFE6D39B"/>
      </x:left>
      <x:bottom style="thin">
        <x:color rgb="FFE6D39B"/>
      </x:bottom>
    </x:border>
    <x:border>
      <x:bottom style="thin">
        <x:color rgb="FFE6D39B"/>
      </x:bottom>
    </x:border>
    <x:border>
      <x:right style="thin">
        <x:color rgb="FFE6D39B"/>
      </x:right>
      <x:bottom style="thin">
        <x:color rgb="FFE6D39B"/>
      </x:bottom>
    </x:border>
    <x:border>
      <x:bottom style="thin">
        <x:color rgb="FFD9E2DD"/>
      </x:bottom>
    </x:border>
    <x:border>
      <x:top style="thin">
        <x:color rgb="FFD9E2DD"/>
      </x:top>
      <x:bottom style="thin">
        <x:color rgb="FFD9E2DD"/>
      </x:bottom>
    </x:border>
  </x:borders>
  <x:cellStyleXfs count="1">
    <x:xf numFmtId="0" fontId="0" fillId="0" borderId="0"/>
  </x:cellStyleXfs>
  <x:cellXfs count="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5" fillId="5" borderId="3" xfId="0" applyNumberFormat="1" applyFont="1" applyFill="1" applyBorder="1"/>
    <x:xf numFmtId="200" fontId="4" fillId="5" borderId="3" xfId="0" applyNumberFormat="1" applyFont="1" applyFill="1" applyBorder="1"/>
    <x:xf numFmtId="200" fontId="6" fillId="5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0" fontId="7" fillId="6" borderId="7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10" xfId="0" applyNumberFormat="1" applyFont="1" applyFill="1" applyBorder="1"/>
    <x:xf numFmtId="0" fontId="7" fillId="6" borderId="11" xfId="0" applyNumberFormat="1" applyFont="1" applyFill="1" applyBorder="1"/>
    <x:xf numFmtId="0" fontId="7" fillId="6" borderId="12" xfId="0" applyNumberFormat="1" applyFont="1" applyFill="1" applyBorder="1"/>
    <x:xf numFmtId="0" fontId="7" fillId="6" borderId="5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wrapText="1"/>
    </x:xf>
    <x:xf numFmtId="0" fontId="7" fillId="6" borderId="7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10" xfId="0" applyNumberFormat="1" applyFont="1" applyFill="1" applyBorder="1" applyAlignment="1">
      <x:alignment wrapText="1"/>
    </x:xf>
    <x:xf numFmtId="0" fontId="7" fillId="6" borderId="11" xfId="0" applyNumberFormat="1" applyFont="1" applyFill="1" applyBorder="1" applyAlignment="1">
      <x:alignment wrapText="1"/>
    </x:xf>
    <x:xf numFmtId="0" fontId="7" fillId="6" borderId="12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6" borderId="7" xfId="0" applyNumberFormat="1" applyFont="1" applyFill="1" applyBorder="1" applyAlignment="1">
      <x:alignment vertical="top" wrapText="1"/>
    </x:xf>
    <x:xf numFmtId="0" fontId="7" fillId="6" borderId="8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7" fillId="6" borderId="9" xfId="0" applyNumberFormat="1" applyFont="1" applyFill="1" applyBorder="1" applyAlignment="1">
      <x:alignment vertical="top" wrapText="1"/>
    </x:xf>
    <x:xf numFmtId="0" fontId="7" fillId="6" borderId="10" xfId="0" applyNumberFormat="1" applyFont="1" applyFill="1" applyBorder="1" applyAlignment="1">
      <x:alignment vertical="top" wrapText="1"/>
    </x:xf>
    <x:xf numFmtId="0" fontId="7" fillId="6" borderId="11" xfId="0" applyNumberFormat="1" applyFont="1" applyFill="1" applyBorder="1" applyAlignment="1">
      <x:alignment vertical="top" wrapText="1"/>
    </x:xf>
    <x:xf numFmtId="0" fontId="7" fillId="6" borderId="12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8" fillId="0" borderId="13" xfId="0" applyNumberFormat="1" applyFont="1" applyFill="1" applyBorder="1"/>
    <x:xf numFmtId="0" fontId="8" fillId="0" borderId="14" xfId="0" applyNumberFormat="1" applyFont="1" applyFill="1" applyBorder="1"/>
    <x:xf numFmtId="0" fontId="8" fillId="0" borderId="13" xfId="0" applyNumberFormat="1" applyFont="1" applyFill="1" applyBorder="1" applyAlignment="1">
      <x:alignment wrapText="1"/>
    </x:xf>
    <x:xf numFmtId="0" fontId="8" fillId="0" borderId="14" xfId="0" applyNumberFormat="1" applyFont="1" applyFill="1" applyBorder="1" applyAlignment="1">
      <x:alignment wrapText="1"/>
    </x:xf>
    <x:xf numFmtId="0" fontId="8" fillId="0" borderId="13" xfId="0" applyNumberFormat="1" applyFont="1" applyFill="1" applyBorder="1" applyAlignment="1">
      <x:alignment vertical="top" wrapText="1"/>
    </x:xf>
    <x:xf numFmtId="0" fontId="8" fillId="0" borderId="14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4" borderId="1" xfId="0" applyNumberFormat="1" applyFont="1" applyFill="1" applyBorder="1" applyAlignment="1">
      <x:alignment vertical="center" wrapText="1"/>
    </x:xf>
    <x:xf numFmtId="0" fontId="12" fillId="4" borderId="2" xfId="0" applyNumberFormat="1" applyFont="1" applyFill="1" applyBorder="1" applyAlignment="1">
      <x:alignment vertical="center" wrapText="1"/>
    </x:xf>
    <x:xf numFmtId="0" fontId="12" fillId="4" borderId="4" xfId="0" applyNumberFormat="1" applyFont="1" applyFill="1" applyBorder="1" applyAlignment="1">
      <x:alignment vertical="center" wrapText="1"/>
    </x:xf>
    <x:xf numFmtId="0" fontId="13" fillId="5" borderId="3" xfId="0" applyNumberFormat="1" applyFont="1" applyFill="1" applyBorder="1"/>
    <x:xf numFmtId="0" fontId="14" fillId="5" borderId="3" xfId="0" applyNumberFormat="1" applyFont="1" applyFill="1" applyBorder="1"/>
    <x:xf numFmtId="0" fontId="15" fillId="6" borderId="5" xfId="0" applyNumberFormat="1" applyFont="1" applyFill="1" applyBorder="1" applyAlignment="1">
      <x:alignment vertical="top" wrapText="1"/>
    </x:xf>
    <x:xf numFmtId="0" fontId="15" fillId="6" borderId="6" xfId="0" applyNumberFormat="1" applyFont="1" applyFill="1" applyBorder="1" applyAlignment="1">
      <x:alignment vertical="top" wrapText="1"/>
    </x:xf>
    <x:xf numFmtId="0" fontId="15" fillId="6" borderId="7" xfId="0" applyNumberFormat="1" applyFont="1" applyFill="1" applyBorder="1" applyAlignment="1">
      <x:alignment vertical="top" wrapText="1"/>
    </x:xf>
    <x:xf numFmtId="0" fontId="15" fillId="6" borderId="8" xfId="0" applyNumberFormat="1" applyFont="1" applyFill="1" applyBorder="1" applyAlignment="1">
      <x:alignment vertical="top" wrapText="1"/>
    </x:xf>
    <x:xf numFmtId="0" fontId="15" fillId="6" borderId="0" xfId="0" applyNumberFormat="1" applyFont="1" applyFill="1" applyBorder="1" applyAlignment="1">
      <x:alignment vertical="top" wrapText="1"/>
    </x:xf>
    <x:xf numFmtId="0" fontId="15" fillId="6" borderId="9" xfId="0" applyNumberFormat="1" applyFont="1" applyFill="1" applyBorder="1" applyAlignment="1">
      <x:alignment vertical="top" wrapText="1"/>
    </x:xf>
    <x:xf numFmtId="200" fontId="16" fillId="5" borderId="3" xfId="0" applyNumberFormat="1" applyFont="1" applyFill="1" applyBorder="1"/>
    <x:xf numFmtId="0" fontId="15" fillId="6" borderId="10" xfId="0" applyNumberFormat="1" applyFont="1" applyFill="1" applyBorder="1" applyAlignment="1">
      <x:alignment vertical="top" wrapText="1"/>
    </x:xf>
    <x:xf numFmtId="0" fontId="15" fillId="6" borderId="11" xfId="0" applyNumberFormat="1" applyFont="1" applyFill="1" applyBorder="1" applyAlignment="1">
      <x:alignment vertical="top" wrapText="1"/>
    </x:xf>
    <x:xf numFmtId="0" fontId="15" fillId="6" borderId="12" xfId="0" applyNumberFormat="1" applyFont="1" applyFill="1" applyBorder="1" applyAlignment="1">
      <x:alignment vertical="top" wrapText="1"/>
    </x:xf>
    <x:xf numFmtId="0" fontId="17" fillId="0" borderId="13" xfId="0" applyNumberFormat="1" applyFont="1" applyFill="1" applyBorder="1" applyAlignment="1">
      <x:alignment vertical="top" wrapText="1"/>
    </x:xf>
    <x:xf numFmtId="0" fontId="17" fillId="0" borderId="14" xfId="0" applyNumberFormat="1" applyFont="1" applyFill="1" applyBorder="1" applyAlignment="1">
      <x:alignment vertical="top" wrapText="1"/>
    </x:xf>
    <x:xf numFmtId="0" fontId="18" fillId="0" borderId="13" xfId="0" applyNumberFormat="1" applyFont="1" applyFill="1" applyBorder="1" applyAlignment="1">
      <x:alignment vertical="top" wrapText="1"/>
    </x:xf>
    <x:xf numFmtId="0" fontId="18" fillId="0" borderId="14" xfId="0" applyNumberFormat="1" applyFont="1" applyFill="1" applyBorder="1" applyAlignment="1">
      <x:alignment vertical="top" wrapText="1"/>
    </x:xf>
    <x:xf numFmtId="0" fontId="8" fillId="0" borderId="13" xfId="0" applyNumberFormat="1" applyFont="1" applyFill="1" applyBorder="1" applyAlignment="1">
      <x:alignment horizontal="center" vertical="top" wrapText="1"/>
    </x:xf>
    <x:xf numFmtId="0" fontId="8" fillId="0" borderId="14" xfId="0" applyNumberFormat="1" applyFont="1" applyFill="1" applyBorder="1" applyAlignment="1">
      <x:alignment horizontal="center" vertical="top" wrapText="1"/>
    </x:xf>
    <x:xf numFmtId="201" fontId="8" fillId="0" borderId="13" xfId="0" applyNumberFormat="1" applyFont="1" applyFill="1" applyBorder="1" applyAlignment="1">
      <x:alignment horizontal="center" vertical="top" wrapText="1"/>
    </x:xf>
    <x:xf numFmtId="201" fontId="8" fillId="0" borderId="14" xfId="0" applyNumberFormat="1" applyFont="1" applyFill="1" applyBorder="1" applyAlignment="1">
      <x:alignment horizontal="center" vertical="top" wrapText="1"/>
    </x:xf>
    <x:xf numFmtId="202" fontId="8" fillId="0" borderId="13" xfId="0" applyNumberFormat="1" applyFont="1" applyFill="1" applyBorder="1" applyAlignment="1">
      <x:alignment vertical="top" wrapText="1"/>
    </x:xf>
    <x:xf numFmtId="202" fontId="8" fillId="0" borderId="14" xfId="0" applyNumberFormat="1" applyFont="1" applyFill="1" applyBorder="1" applyAlignment="1">
      <x:alignment vertical="top" wrapText="1"/>
    </x:xf>
    <x:xf numFmtId="202" fontId="8" fillId="0" borderId="13" xfId="0" applyNumberFormat="1" applyFont="1" applyFill="1" applyBorder="1" applyAlignment="1">
      <x:alignment horizontal="right" vertical="top" wrapText="1"/>
    </x:xf>
    <x:xf numFmtId="202" fontId="8" fillId="0" borderId="14" xfId="0" applyNumberFormat="1" applyFont="1" applyFill="1" applyBorder="1" applyAlignment="1">
      <x:alignment horizontal="right" vertical="top" wrapText="1"/>
    </x:xf>
    <x:xf numFmtId="0" fontId="19" fillId="0" borderId="13" xfId="0" applyNumberFormat="1" applyFont="1" applyFill="1" applyBorder="1" applyAlignment="1">
      <x:alignment vertical="top" wrapText="1"/>
    </x:xf>
    <x:xf numFmtId="0" fontId="17" fillId="0" borderId="13" xfId="0" applyNumberFormat="1" applyFont="1" applyFill="1" applyBorder="1" applyAlignment="1">
      <x:alignment horizontal="center" vertical="top" wrapText="1"/>
    </x:xf>
    <x:xf numFmtId="201" fontId="17" fillId="0" borderId="13" xfId="0" applyNumberFormat="1" applyFont="1" applyFill="1" applyBorder="1" applyAlignment="1">
      <x:alignment horizontal="center" vertical="top" wrapText="1"/>
    </x:xf>
    <x:xf numFmtId="0" fontId="19" fillId="0" borderId="14" xfId="0" applyNumberFormat="1" applyFont="1" applyFill="1" applyBorder="1" applyAlignment="1">
      <x:alignment vertical="top" wrapText="1"/>
    </x:xf>
    <x:xf numFmtId="0" fontId="17" fillId="0" borderId="14" xfId="0" applyNumberFormat="1" applyFont="1" applyFill="1" applyBorder="1" applyAlignment="1">
      <x:alignment horizontal="center" vertical="top" wrapText="1"/>
    </x:xf>
    <x:xf numFmtId="201" fontId="17" fillId="0" borderId="14" xfId="0" applyNumberFormat="1" applyFont="1" applyFill="1" applyBorder="1" applyAlignment="1">
      <x:alignment horizontal="center" vertical="top" wrapText="1"/>
    </x:xf>
    <x:xf numFmtId="202" fontId="17" fillId="0" borderId="13" xfId="0" applyNumberFormat="1" applyFont="1" applyFill="1" applyBorder="1" applyAlignment="1">
      <x:alignment horizontal="right" vertical="top" wrapText="1"/>
    </x:xf>
    <x:xf numFmtId="202" fontId="17" fillId="0" borderId="14" xfId="0" applyNumberFormat="1" applyFont="1" applyFill="1" applyBorder="1" applyAlignment="1">
      <x:alignment horizontal="right" vertical="top" wrapText="1"/>
    </x:xf>
  </x:cellXfs>
  <x:cellStyles count="1">
    <x:cellStyle name="Normal" xfId="0"/>
  </x:cellStyles>
  <x:dxfs count="5">
    <x:dxf>
      <x:font>
        <x:b/>
        <x:color rgb="FF9B1C1C"/>
      </x:font>
      <x:fill>
        <x:patternFill patternType="solid">
          <x:bgColor rgb="FFFDEBEC"/>
        </x:patternFill>
      </x:fill>
    </x:dxf>
    <x:dxf>
      <x:font>
        <x:b/>
        <x:color rgb="FF7A5A00"/>
      </x:font>
      <x:fill>
        <x:patternFill patternType="solid">
          <x:bgColor rgb="FFFBF6E7"/>
        </x:patternFill>
      </x:fill>
    </x:dxf>
    <x:dxf>
      <x:font>
        <x:b/>
        <x:color rgb="FF0B5E3B"/>
      </x:font>
      <x:fill>
        <x:patternFill patternType="solid">
          <x:bgColor rgb="FFE3F3EA"/>
        </x:patternFill>
      </x:fill>
    </x:dxf>
    <x:dxf>
      <x:font>
        <x:b/>
        <x:color rgb="FF9B1C1C"/>
      </x:font>
      <x:fill>
        <x:patternFill patternType="solid">
          <x:bgColor rgb="FFFDEBEC"/>
        </x:patternFill>
      </x:fill>
    </x:dxf>
    <x:dxf>
      <x:font>
        <x:b/>
        <x:color rgb="FF0B5E3B"/>
      </x:font>
      <x:fill>
        <x:patternFill patternType="solid">
          <x:bgColor rgb="FFE3F3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d69a36c7ec43e4" /><Relationship Type="http://schemas.openxmlformats.org/officeDocument/2006/relationships/theme" Target="/xl/theme/theme1.xml" Id="Re96c502a9e774d0f" /><Relationship Type="http://schemas.openxmlformats.org/officeDocument/2006/relationships/sharedStrings" Target="/xl/sharedStrings.xml" Id="R9d94ebf3cb264b24" /><Relationship Type="http://schemas.openxmlformats.org/officeDocument/2006/relationships/worksheet" Target="/xl/worksheets/sheet1.xml" Id="R4e9f50f88d9d4dbf" /><Relationship Type="http://schemas.openxmlformats.org/officeDocument/2006/relationships/worksheet" Target="/xl/worksheets/sheet2.xml" Id="R59e62d9a4f2d4b3b" /><Relationship Type="http://schemas.openxmlformats.org/officeDocument/2006/relationships/worksheet" Target="/xl/worksheets/sheet3.xml" Id="R49c0fede976c4c7d" /><Relationship Type="http://schemas.openxmlformats.org/officeDocument/2006/relationships/worksheet" Target="/xl/worksheets/sheet4.xml" Id="Ra154998ec00c4549" /><Relationship Type="http://schemas.openxmlformats.org/officeDocument/2006/relationships/worksheet" Target="/xl/worksheets/sheet5.xml" Id="R001968aa374a4382" /><Relationship Type="http://schemas.openxmlformats.org/officeDocument/2006/relationships/worksheet" Target="/xl/worksheets/sheet6.xml" Id="R2d8d64e8169a494d" /></Relationships>
</file>

<file path=xl/tables/table1.xml><?xml version="1.0" encoding="utf-8"?>
<x:table xmlns:x="http://schemas.openxmlformats.org/spreadsheetml/2006/main" id="1" name="ProductBacklogTable" displayName="ProductBacklogTable" ref="A4:J54" headerRowCount="1" totalsRowCount="0" totalsRowShown="0">
  <x:tableColumns count="10">
    <x:tableColumn id="1" name="ID"/>
    <x:tableColumn id="2" name="Epic"/>
    <x:tableColumn id="3" name="User Story"/>
    <x:tableColumn id="4" name="Acceptance Criteria"/>
    <x:tableColumn id="5" name="Prioritas"/>
    <x:tableColumn id="6" name="Sprint"/>
    <x:tableColumn id="7" name="Owner"/>
    <x:tableColumn id="8" name="Dependency"/>
    <x:tableColumn id="9" name="Status"/>
    <x:tableColumn id="10" name="S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d01a87b12042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61" t="str">
        <x:v>BACKLOG MVP — SISTEM PENTASHIHAN LPMQ v2.0</x:v>
      </x:c>
      <x:c r="B1" s="61"/>
      <x:c r="C1" s="61"/>
      <x:c r="D1" s="61"/>
      <x:c r="E1" s="61"/>
      <x:c r="F1" s="61"/>
      <x:c r="G1" s="61"/>
      <x:c r="H1" s="61"/>
    </x:row>
    <x:row r="2" ht="28" customHeight="1">
      <x:c r="A2" s="62" t="str">
        <x:v>Baseline kerja: aplikasi internal + portal penerbit • Data dan angka SOP tertentu masih menunggu validasi</x:v>
      </x:c>
      <x:c r="B2" s="62"/>
      <x:c r="C2" s="62"/>
      <x:c r="D2" s="62"/>
      <x:c r="E2" s="62"/>
      <x:c r="F2" s="62"/>
      <x:c r="G2" s="62"/>
      <x:c r="H2" s="62"/>
    </x:row>
    <x:row r="3">
      <x:c r="A3" s="63"/>
      <x:c r="B3" s="63"/>
      <x:c r="C3" s="63"/>
      <x:c r="D3" s="63"/>
      <x:c r="E3" s="63"/>
      <x:c r="F3" s="63"/>
      <x:c r="G3" s="63"/>
      <x:c r="H3" s="63"/>
    </x:row>
    <x:row r="4" ht="30" customHeight="1">
      <x:c r="A4" s="64" t="str">
        <x:v>Metrik</x:v>
      </x:c>
      <x:c r="B4" s="65" t="str">
        <x:v>Nilai</x:v>
      </x:c>
      <x:c r="C4" s="63"/>
      <x:c r="D4" s="64" t="str">
        <x:v>Keputusan Scope</x:v>
      </x:c>
      <x:c r="E4" s="66"/>
      <x:c r="F4" s="66"/>
      <x:c r="G4" s="66"/>
      <x:c r="H4" s="65"/>
    </x:row>
    <x:row r="5" ht="25" customHeight="1">
      <x:c r="A5" s="67" t="str">
        <x:v>Total backlog</x:v>
      </x:c>
      <x:c r="B5" s="68" t="n">
        <x:f>COUNTA('Product Backlog'!$A$5:$A$100)</x:f>
        <x:v>50</x:v>
      </x:c>
      <x:c r="C5" s="63"/>
      <x:c r="D5" s="69" t="str">
        <x:v>• Dua antarmuka, satu backend/database
• Admin dapat input atas nama penerbit
• Pembayaran manual, siap adapter SIMPONI
• Simpan metadata, cover, dan 2–3 halaman awal
• Penandatangan fleksibel, BSrE fase lanjut
• Master: Tim Distribusi + Kategori/Konten Mushaf</x:v>
      </x:c>
      <x:c r="E5" s="70"/>
      <x:c r="F5" s="70"/>
      <x:c r="G5" s="70"/>
      <x:c r="H5" s="71"/>
    </x:row>
    <x:row r="6" ht="25" customHeight="1">
      <x:c r="A6" s="67" t="str">
        <x:v>P0</x:v>
      </x:c>
      <x:c r="B6" s="68" t="n">
        <x:f>COUNTIF('Product Backlog'!$E$5:$E$100,"P0")</x:f>
        <x:v>43</x:v>
      </x:c>
      <x:c r="C6" s="63"/>
      <x:c r="D6" s="72"/>
      <x:c r="E6" s="73"/>
      <x:c r="F6" s="73"/>
      <x:c r="G6" s="73"/>
      <x:c r="H6" s="74"/>
    </x:row>
    <x:row r="7" ht="25" customHeight="1">
      <x:c r="A7" s="67" t="str">
        <x:v>P1</x:v>
      </x:c>
      <x:c r="B7" s="68" t="n">
        <x:f>COUNTIF('Product Backlog'!$E$5:$E$100,"P1")</x:f>
        <x:v>7</x:v>
      </x:c>
      <x:c r="C7" s="63"/>
      <x:c r="D7" s="72"/>
      <x:c r="E7" s="73"/>
      <x:c r="F7" s="73"/>
      <x:c r="G7" s="73"/>
      <x:c r="H7" s="74"/>
    </x:row>
    <x:row r="8" ht="25" customHeight="1">
      <x:c r="A8" s="67" t="str">
        <x:v>Total story points</x:v>
      </x:c>
      <x:c r="B8" s="68" t="n">
        <x:f>SUM('Product Backlog'!$J$5:$J$100)</x:f>
        <x:v>227</x:v>
      </x:c>
      <x:c r="C8" s="63"/>
      <x:c r="D8" s="72"/>
      <x:c r="E8" s="73"/>
      <x:c r="F8" s="73"/>
      <x:c r="G8" s="73"/>
      <x:c r="H8" s="74"/>
    </x:row>
    <x:row r="9" ht="25" customHeight="1">
      <x:c r="A9" s="67" t="str">
        <x:v>Selesai</x:v>
      </x:c>
      <x:c r="B9" s="68" t="n">
        <x:f>COUNTIF('Product Backlog'!$I$5:$I$100,"Selesai")</x:f>
        <x:v>0</x:v>
      </x:c>
      <x:c r="C9" s="63"/>
      <x:c r="D9" s="72"/>
      <x:c r="E9" s="73"/>
      <x:c r="F9" s="73"/>
      <x:c r="G9" s="73"/>
      <x:c r="H9" s="74"/>
    </x:row>
    <x:row r="10" ht="25" customHeight="1">
      <x:c r="A10" s="67" t="str">
        <x:v>Progress MVP</x:v>
      </x:c>
      <x:c r="B10" s="75" t="n">
        <x:f>IF(B5=0,0,B9/B5)</x:f>
        <x:v>0</x:v>
      </x:c>
      <x:c r="C10" s="63"/>
      <x:c r="D10" s="76"/>
      <x:c r="E10" s="77"/>
      <x:c r="F10" s="77"/>
      <x:c r="G10" s="77"/>
      <x:c r="H10" s="78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>
      <x:c r="A12" s="63"/>
      <x:c r="B12" s="63"/>
      <x:c r="C12" s="63"/>
      <x:c r="D12" s="63"/>
      <x:c r="E12" s="63"/>
      <x:c r="F12" s="63"/>
      <x:c r="G12" s="63"/>
      <x:c r="H12" s="63"/>
    </x:row>
    <x:row r="13" ht="30" customHeight="1">
      <x:c r="A13" s="64" t="str">
        <x:v>Sprint dan fokus utama</x:v>
      </x:c>
      <x:c r="B13" s="66"/>
      <x:c r="C13" s="66"/>
      <x:c r="D13" s="66"/>
      <x:c r="E13" s="66"/>
      <x:c r="F13" s="66"/>
      <x:c r="G13" s="66"/>
      <x:c r="H13" s="65"/>
    </x:row>
    <x:row r="14" ht="30" customHeight="1">
      <x:c r="A14" s="64" t="str">
        <x:v>Sprint</x:v>
      </x:c>
      <x:c r="B14" s="66" t="str">
        <x:v>Fokus</x:v>
      </x:c>
      <x:c r="C14" s="65" t="str">
        <x:v>Target</x:v>
      </x:c>
      <x:c r="D14" s="63"/>
      <x:c r="E14" s="64" t="str">
        <x:v>Risiko utama</x:v>
      </x:c>
      <x:c r="F14" s="66" t="str">
        <x:v>Keputusan sebelum</x:v>
      </x:c>
      <x:c r="G14" s="65"/>
      <x:c r="H14" s="63"/>
    </x:row>
    <x:row r="15">
      <x:c r="A15" s="79" t="str">
        <x:v>Sprint 0</x:v>
      </x:c>
      <x:c r="B15" s="79" t="str">
        <x:v>Fondasi</x:v>
      </x:c>
      <x:c r="C15" s="79" t="str">
        <x:v>Requirement, ERD, repo, CI, OpenAPI</x:v>
      </x:c>
      <x:c r="D15" s="63"/>
      <x:c r="E15" s="79" t="str">
        <x:v>SOP/status final</x:v>
      </x:c>
      <x:c r="F15" s="79" t="str">
        <x:v>Sprint terkait</x:v>
      </x:c>
      <x:c r="G15" s="79"/>
      <x:c r="H15" s="63"/>
    </x:row>
    <x:row r="16">
      <x:c r="A16" s="80" t="str">
        <x:v>Sprint 1</x:v>
      </x:c>
      <x:c r="B16" s="80" t="str">
        <x:v>Identitas &amp; master</x:v>
      </x:c>
      <x:c r="C16" s="80" t="str">
        <x:v>Auth, penerbit, kategori/konten, Tim Distribusi</x:v>
      </x:c>
      <x:c r="D16" s="63"/>
      <x:c r="E16" s="80" t="str">
        <x:v>Penandatangan resmi</x:v>
      </x:c>
      <x:c r="F16" s="80" t="str">
        <x:v>Sprint 5</x:v>
      </x:c>
      <x:c r="G16" s="80"/>
      <x:c r="H16" s="63"/>
    </x:row>
    <x:row r="17">
      <x:c r="A17" s="80" t="str">
        <x:v>Sprint 2</x:v>
      </x:c>
      <x:c r="B17" s="80" t="str">
        <x:v>Pengajuan &amp; verifikasi</x:v>
      </x:c>
      <x:c r="C17" s="80" t="str">
        <x:v>Portal/admin input, file sampel, antrean</x:v>
      </x:c>
      <x:c r="D17" s="63"/>
      <x:c r="E17" s="63"/>
      <x:c r="F17" s="63"/>
      <x:c r="G17" s="63"/>
      <x:c r="H17" s="63"/>
    </x:row>
    <x:row r="18">
      <x:c r="A18" s="80" t="str">
        <x:v>Sprint 3</x:v>
      </x:c>
      <x:c r="B18" s="80" t="str">
        <x:v>Tarif &amp; pembayaran</x:v>
      </x:c>
      <x:c r="C18" s="80" t="str">
        <x:v>Snapshot tarif/SLA, billing manual</x:v>
      </x:c>
      <x:c r="D18" s="63"/>
      <x:c r="E18" s="63"/>
      <x:c r="F18" s="63"/>
      <x:c r="G18" s="63"/>
      <x:c r="H18" s="63"/>
    </x:row>
    <x:row r="19">
      <x:c r="A19" s="80" t="str">
        <x:v>Sprint 4</x:v>
      </x:c>
      <x:c r="B19" s="80" t="str">
        <x:v>Distribusi &amp; tashih</x:v>
      </x:c>
      <x:c r="C19" s="80" t="str">
        <x:v>Tahap awal/perbaikan/dumi dan hasil</x:v>
      </x:c>
      <x:c r="D19" s="63"/>
      <x:c r="E19" s="63"/>
      <x:c r="F19" s="63"/>
      <x:c r="G19" s="63"/>
      <x:c r="H19" s="63"/>
    </x:row>
    <x:row r="20">
      <x:c r="A20" s="80" t="str">
        <x:v>Sprint 5</x:v>
      </x:c>
      <x:c r="B20" s="80" t="str">
        <x:v>Dokumentasi &amp; dokumen</x:v>
      </x:c>
      <x:c r="C20" s="80" t="str">
        <x:v>Checklist, PDF, versioning, signatory</x:v>
      </x:c>
      <x:c r="D20" s="63"/>
      <x:c r="E20" s="63"/>
      <x:c r="F20" s="63"/>
      <x:c r="G20" s="63"/>
      <x:c r="H20" s="63"/>
    </x:row>
  </x:sheetData>
  <x:mergeCells>
    <x:mergeCell ref="A1:H1"/>
    <x:mergeCell ref="A2:H2"/>
    <x:mergeCell ref="D4:H4"/>
    <x:mergeCell ref="D5:H10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48" hidden="0" customWidth="1"/>
    <x:col min="4" max="4" width="58" hidden="0" customWidth="1"/>
    <x:col min="5" max="5" width="10" hidden="0" customWidth="1"/>
    <x:col min="6" max="6" width="12" hidden="0" customWidth="1"/>
    <x:col min="7" max="7" width="15" hidden="0" customWidth="1"/>
    <x:col min="8" max="8" width="22" hidden="0" customWidth="1"/>
    <x:col min="9" max="9" width="15" hidden="0" customWidth="1"/>
    <x:col min="10" max="10" width="7" hidden="0" customWidth="1"/>
  </x:cols>
  <x:sheetData>
    <x:row r="1" ht="34" customHeight="1">
      <x:c r="A1" s="61" t="str">
        <x:v>PRODUCT BACKLOG MVP</x:v>
      </x:c>
      <x:c r="B1" s="61"/>
      <x:c r="C1" s="61"/>
      <x:c r="D1" s="61"/>
      <x:c r="E1" s="61"/>
      <x:c r="F1" s="61"/>
      <x:c r="G1" s="61"/>
      <x:c r="H1" s="61"/>
      <x:c r="I1" s="61"/>
      <x:c r="J1" s="61"/>
    </x:row>
    <x:row r="2" ht="28" customHeight="1">
      <x:c r="A2" s="62" t="str">
        <x:v>Urutkan berdasarkan Priority, Sprint, dan dependency. Story point adalah estimasi awal untuk refinement tim.</x:v>
      </x:c>
      <x:c r="B2" s="62"/>
      <x:c r="C2" s="62"/>
      <x:c r="D2" s="62"/>
      <x:c r="E2" s="62"/>
      <x:c r="F2" s="62"/>
      <x:c r="G2" s="62"/>
      <x:c r="H2" s="62"/>
      <x:c r="I2" s="62"/>
      <x:c r="J2" s="62"/>
    </x:row>
    <x:row r="3">
      <x:c r="A3" s="63"/>
      <x:c r="B3" s="63"/>
      <x:c r="C3" s="63"/>
      <x:c r="D3" s="63"/>
      <x:c r="E3" s="63"/>
      <x:c r="F3" s="63"/>
      <x:c r="G3" s="63"/>
      <x:c r="H3" s="63"/>
      <x:c r="I3" s="63"/>
      <x:c r="J3" s="63"/>
    </x:row>
    <x:row r="4" ht="30" customHeight="1">
      <x:c r="A4" s="64" t="str">
        <x:v>ID</x:v>
      </x:c>
      <x:c r="B4" s="66" t="str">
        <x:v>Epic</x:v>
      </x:c>
      <x:c r="C4" s="66" t="str">
        <x:v>User Story</x:v>
      </x:c>
      <x:c r="D4" s="66" t="str">
        <x:v>Acceptance Criteria</x:v>
      </x:c>
      <x:c r="E4" s="66" t="str">
        <x:v>Prioritas</x:v>
      </x:c>
      <x:c r="F4" s="66" t="str">
        <x:v>Sprint</x:v>
      </x:c>
      <x:c r="G4" s="66" t="str">
        <x:v>Owner</x:v>
      </x:c>
      <x:c r="H4" s="66" t="str">
        <x:v>Dependency</x:v>
      </x:c>
      <x:c r="I4" s="66" t="str">
        <x:v>Status</x:v>
      </x:c>
      <x:c r="J4" s="65" t="str">
        <x:v>SP</x:v>
      </x:c>
    </x:row>
    <x:row r="5" ht="46" customHeight="1">
      <x:c r="A5" s="91" t="str">
        <x:v>AUTH-01</x:v>
      </x:c>
      <x:c r="B5" s="79" t="str">
        <x:v>Autentikasi</x:v>
      </x:c>
      <x:c r="C5" s="79" t="str">
        <x:v>Sebagai pengguna, saya dapat login dengan kredensial yang diverifikasi server.</x:v>
      </x:c>
      <x:c r="D5" s="79" t="str">
        <x:v>Login valid berhasil; gagal tidak membocorkan akun; sesi tercatat.</x:v>
      </x:c>
      <x:c r="E5" s="92" t="str">
        <x:v>P0</x:v>
      </x:c>
      <x:c r="F5" s="92" t="str">
        <x:v>Sprint 1</x:v>
      </x:c>
      <x:c r="G5" s="79" t="str">
        <x:v>Backend</x:v>
      </x:c>
      <x:c r="H5" s="79" t="str">
        <x:v>-</x:v>
      </x:c>
      <x:c r="I5" s="92" t="str">
        <x:v>Belum Mulai</x:v>
      </x:c>
      <x:c r="J5" s="93" t="n">
        <x:v>5</x:v>
      </x:c>
    </x:row>
    <x:row r="6" ht="46" customHeight="1">
      <x:c r="A6" s="94" t="str">
        <x:v>AUTH-02</x:v>
      </x:c>
      <x:c r="B6" s="80" t="str">
        <x:v>Autentikasi</x:v>
      </x:c>
      <x:c r="C6" s="80" t="str">
        <x:v>Sebagai admin, saya dapat memberikan lebih dari satu role kepada pengguna.</x:v>
      </x:c>
      <x:c r="D6" s="80" t="str">
        <x:v>Permission efektif merupakan gabungan role; default deny; perubahan diaudit.</x:v>
      </x:c>
      <x:c r="E6" s="95" t="str">
        <x:v>P0</x:v>
      </x:c>
      <x:c r="F6" s="95" t="str">
        <x:v>Sprint 1</x:v>
      </x:c>
      <x:c r="G6" s="80" t="str">
        <x:v>Backend</x:v>
      </x:c>
      <x:c r="H6" s="80" t="str">
        <x:v>AUTH-01</x:v>
      </x:c>
      <x:c r="I6" s="95" t="str">
        <x:v>Belum Mulai</x:v>
      </x:c>
      <x:c r="J6" s="96" t="n">
        <x:v>5</x:v>
      </x:c>
    </x:row>
    <x:row r="7" ht="46" customHeight="1">
      <x:c r="A7" s="94" t="str">
        <x:v>AUTH-03</x:v>
      </x:c>
      <x:c r="B7" s="80" t="str">
        <x:v>Autentikasi</x:v>
      </x:c>
      <x:c r="C7" s="80" t="str">
        <x:v>Sebagai pengguna, saya dapat melakukan reset password secara aman.</x:v>
      </x:c>
      <x:c r="D7" s="80" t="str">
        <x:v>Token unik, kedaluwarsa, sekali pakai; tidak ada PIN global.</x:v>
      </x:c>
      <x:c r="E7" s="95" t="str">
        <x:v>P0</x:v>
      </x:c>
      <x:c r="F7" s="95" t="str">
        <x:v>Sprint 1</x:v>
      </x:c>
      <x:c r="G7" s="80" t="str">
        <x:v>Backend</x:v>
      </x:c>
      <x:c r="H7" s="80" t="str">
        <x:v>AUTH-01</x:v>
      </x:c>
      <x:c r="I7" s="95" t="str">
        <x:v>Belum Mulai</x:v>
      </x:c>
      <x:c r="J7" s="96" t="n">
        <x:v>3</x:v>
      </x:c>
    </x:row>
    <x:row r="8" ht="46" customHeight="1">
      <x:c r="A8" s="94" t="str">
        <x:v>AUTH-04</x:v>
      </x:c>
      <x:c r="B8" s="80" t="str">
        <x:v>Autentikasi</x:v>
      </x:c>
      <x:c r="C8" s="80" t="str">
        <x:v>Sebagai admin, saya dapat menonaktifkan akun.</x:v>
      </x:c>
      <x:c r="D8" s="80" t="str">
        <x:v>Akun tidak dapat login; sesi dicabut; riwayat tidak terhapus.</x:v>
      </x:c>
      <x:c r="E8" s="95" t="str">
        <x:v>P0</x:v>
      </x:c>
      <x:c r="F8" s="95" t="str">
        <x:v>Sprint 1</x:v>
      </x:c>
      <x:c r="G8" s="80" t="str">
        <x:v>Backend</x:v>
      </x:c>
      <x:c r="H8" s="80" t="str">
        <x:v>AUTH-02</x:v>
      </x:c>
      <x:c r="I8" s="95" t="str">
        <x:v>Belum Mulai</x:v>
      </x:c>
      <x:c r="J8" s="96" t="n">
        <x:v>3</x:v>
      </x:c>
    </x:row>
    <x:row r="9" ht="46" customHeight="1">
      <x:c r="A9" s="94" t="str">
        <x:v>PUB-01</x:v>
      </x:c>
      <x:c r="B9" s="80" t="str">
        <x:v>Penerbit</x:v>
      </x:c>
      <x:c r="C9" s="80" t="str">
        <x:v>Sebagai penerbit, saya dapat membuat dan memperbarui profil badan hukum.</x:v>
      </x:c>
      <x:c r="D9" s="80" t="str">
        <x:v>Draft tersimpan; field wajib tervalidasi; hanya data sendiri.</x:v>
      </x:c>
      <x:c r="E9" s="95" t="str">
        <x:v>P0</x:v>
      </x:c>
      <x:c r="F9" s="95" t="str">
        <x:v>Sprint 1</x:v>
      </x:c>
      <x:c r="G9" s="80" t="str">
        <x:v>Fullstack</x:v>
      </x:c>
      <x:c r="H9" s="80" t="str">
        <x:v>AUTH-01</x:v>
      </x:c>
      <x:c r="I9" s="95" t="str">
        <x:v>Belum Mulai</x:v>
      </x:c>
      <x:c r="J9" s="96" t="n">
        <x:v>5</x:v>
      </x:c>
    </x:row>
    <x:row r="10" ht="46" customHeight="1">
      <x:c r="A10" s="94" t="str">
        <x:v>PUB-02</x:v>
      </x:c>
      <x:c r="B10" s="80" t="str">
        <x:v>Penerbit</x:v>
      </x:c>
      <x:c r="C10" s="80" t="str">
        <x:v>Sebagai penerbit, saya dapat mengunggah dokumen badan hukum.</x:v>
      </x:c>
      <x:c r="D10" s="80" t="str">
        <x:v>MIME/ukuran divalidasi; file privat; versioning aktif.</x:v>
      </x:c>
      <x:c r="E10" s="95" t="str">
        <x:v>P0</x:v>
      </x:c>
      <x:c r="F10" s="95" t="str">
        <x:v>Sprint 1</x:v>
      </x:c>
      <x:c r="G10" s="80" t="str">
        <x:v>Fullstack</x:v>
      </x:c>
      <x:c r="H10" s="80" t="str">
        <x:v>PUB-01</x:v>
      </x:c>
      <x:c r="I10" s="95" t="str">
        <x:v>Belum Mulai</x:v>
      </x:c>
      <x:c r="J10" s="96" t="n">
        <x:v>5</x:v>
      </x:c>
    </x:row>
    <x:row r="11" ht="46" customHeight="1">
      <x:c r="A11" s="94" t="str">
        <x:v>PUB-03</x:v>
      </x:c>
      <x:c r="B11" s="80" t="str">
        <x:v>Penerbit</x:v>
      </x:c>
      <x:c r="C11" s="80" t="str">
        <x:v>Sebagai verifikator, saya dapat memutuskan status profil penerbit.</x:v>
      </x:c>
      <x:c r="D11" s="80" t="str">
        <x:v>Terima/perbaikan/tolak; alasan wajib untuk perbaikan/tolak; audit tercatat.</x:v>
      </x:c>
      <x:c r="E11" s="95" t="str">
        <x:v>P0</x:v>
      </x:c>
      <x:c r="F11" s="95" t="str">
        <x:v>Sprint 1</x:v>
      </x:c>
      <x:c r="G11" s="80" t="str">
        <x:v>Fullstack</x:v>
      </x:c>
      <x:c r="H11" s="80" t="str">
        <x:v>PUB-02</x:v>
      </x:c>
      <x:c r="I11" s="95" t="str">
        <x:v>Belum Mulai</x:v>
      </x:c>
      <x:c r="J11" s="96" t="n">
        <x:v>5</x:v>
      </x:c>
    </x:row>
    <x:row r="12" ht="46" customHeight="1">
      <x:c r="A12" s="94" t="str">
        <x:v>MST-01</x:v>
      </x:c>
      <x:c r="B12" s="80" t="str">
        <x:v>Master Data</x:v>
      </x:c>
      <x:c r="C12" s="80" t="str">
        <x:v>Sebagai admin, saya dapat mengelola kategori mushaf.</x:v>
      </x:c>
      <x:c r="D12" s="80" t="str">
        <x:v>Kode unik; urutan; aktif/nonaktif; tidak hard delete jika telah dipakai.</x:v>
      </x:c>
      <x:c r="E12" s="95" t="str">
        <x:v>P0</x:v>
      </x:c>
      <x:c r="F12" s="95" t="str">
        <x:v>Sprint 1</x:v>
      </x:c>
      <x:c r="G12" s="80" t="str">
        <x:v>Fullstack</x:v>
      </x:c>
      <x:c r="H12" s="80" t="str">
        <x:v>AUTH-02</x:v>
      </x:c>
      <x:c r="I12" s="95" t="str">
        <x:v>Belum Mulai</x:v>
      </x:c>
      <x:c r="J12" s="96" t="n">
        <x:v>3</x:v>
      </x:c>
    </x:row>
    <x:row r="13" ht="46" customHeight="1">
      <x:c r="A13" s="94" t="str">
        <x:v>MST-02</x:v>
      </x:c>
      <x:c r="B13" s="80" t="str">
        <x:v>Master Data</x:v>
      </x:c>
      <x:c r="C13" s="80" t="str">
        <x:v>Sebagai admin, saya dapat mengelola konten, tarif, dan durasi layanan.</x:v>
      </x:c>
      <x:c r="D13" s="80" t="str">
        <x:v>Tarif rupiah; awal/perbaikan/dumi; effective date; audit.</x:v>
      </x:c>
      <x:c r="E13" s="95" t="str">
        <x:v>P0</x:v>
      </x:c>
      <x:c r="F13" s="95" t="str">
        <x:v>Sprint 1</x:v>
      </x:c>
      <x:c r="G13" s="80" t="str">
        <x:v>Fullstack</x:v>
      </x:c>
      <x:c r="H13" s="80" t="str">
        <x:v>MST-01</x:v>
      </x:c>
      <x:c r="I13" s="95" t="str">
        <x:v>Belum Mulai</x:v>
      </x:c>
      <x:c r="J13" s="96" t="n">
        <x:v>5</x:v>
      </x:c>
    </x:row>
    <x:row r="14" ht="46" customHeight="1">
      <x:c r="A14" s="94" t="str">
        <x:v>MST-03</x:v>
      </x:c>
      <x:c r="B14" s="80" t="str">
        <x:v>Master Data</x:v>
      </x:c>
      <x:c r="C14" s="80" t="str">
        <x:v>Sebagai admin, saya dapat mengelola Tim Distribusi dan SK.</x:v>
      </x:c>
      <x:c r="D14" s="80" t="str">
        <x:v>Nama, SK/tahun, periode, ketua, status tersimpan.</x:v>
      </x:c>
      <x:c r="E14" s="95" t="str">
        <x:v>P0</x:v>
      </x:c>
      <x:c r="F14" s="95" t="str">
        <x:v>Sprint 1</x:v>
      </x:c>
      <x:c r="G14" s="80" t="str">
        <x:v>Fullstack</x:v>
      </x:c>
      <x:c r="H14" s="80" t="str">
        <x:v>AUTH-02</x:v>
      </x:c>
      <x:c r="I14" s="95" t="str">
        <x:v>Belum Mulai</x:v>
      </x:c>
      <x:c r="J14" s="96" t="n">
        <x:v>5</x:v>
      </x:c>
    </x:row>
    <x:row r="15" ht="46" customHeight="1">
      <x:c r="A15" s="94" t="str">
        <x:v>MST-04</x:v>
      </x:c>
      <x:c r="B15" s="80" t="str">
        <x:v>Master Data</x:v>
      </x:c>
      <x:c r="C15" s="80" t="str">
        <x:v>Sebagai admin, saya dapat mengelola anggota Tim Distribusi.</x:v>
      </x:c>
      <x:c r="D15" s="80" t="str">
        <x:v>Anggota dan peran tim berversi; anggota lama tetap tercatat.</x:v>
      </x:c>
      <x:c r="E15" s="95" t="str">
        <x:v>P0</x:v>
      </x:c>
      <x:c r="F15" s="95" t="str">
        <x:v>Sprint 1</x:v>
      </x:c>
      <x:c r="G15" s="80" t="str">
        <x:v>Fullstack</x:v>
      </x:c>
      <x:c r="H15" s="80" t="str">
        <x:v>MST-03</x:v>
      </x:c>
      <x:c r="I15" s="95" t="str">
        <x:v>Belum Mulai</x:v>
      </x:c>
      <x:c r="J15" s="96" t="n">
        <x:v>3</x:v>
      </x:c>
    </x:row>
    <x:row r="16" ht="46" customHeight="1">
      <x:c r="A16" s="94" t="str">
        <x:v>REG-01</x:v>
      </x:c>
      <x:c r="B16" s="80" t="str">
        <x:v>Pengajuan</x:v>
      </x:c>
      <x:c r="C16" s="80" t="str">
        <x:v>Sebagai penerbit, saya dapat membuat draft pengajuan.</x:v>
      </x:c>
      <x:c r="D16" s="80" t="str">
        <x:v>Draft hanya dapat dilihat penerbit terkait dan petugas berizin.</x:v>
      </x:c>
      <x:c r="E16" s="95" t="str">
        <x:v>P0</x:v>
      </x:c>
      <x:c r="F16" s="95" t="str">
        <x:v>Sprint 2</x:v>
      </x:c>
      <x:c r="G16" s="80" t="str">
        <x:v>Fullstack</x:v>
      </x:c>
      <x:c r="H16" s="80" t="str">
        <x:v>PUB-03,MST-02</x:v>
      </x:c>
      <x:c r="I16" s="95" t="str">
        <x:v>Belum Mulai</x:v>
      </x:c>
      <x:c r="J16" s="96" t="n">
        <x:v>5</x:v>
      </x:c>
    </x:row>
    <x:row r="17" ht="46" customHeight="1">
      <x:c r="A17" s="94" t="str">
        <x:v>REG-02</x:v>
      </x:c>
      <x:c r="B17" s="80" t="str">
        <x:v>Pengajuan</x:v>
      </x:c>
      <x:c r="C17" s="80" t="str">
        <x:v>Sebagai admin, saya dapat membuat pengajuan atas nama penerbit.</x:v>
      </x:c>
      <x:c r="D17" s="80" t="str">
        <x:v>submission_source=internal_admin; aktor dan penerbit tercatat.</x:v>
      </x:c>
      <x:c r="E17" s="95" t="str">
        <x:v>P0</x:v>
      </x:c>
      <x:c r="F17" s="95" t="str">
        <x:v>Sprint 2</x:v>
      </x:c>
      <x:c r="G17" s="80" t="str">
        <x:v>Fullstack</x:v>
      </x:c>
      <x:c r="H17" s="80" t="str">
        <x:v>PUB-03,MST-02</x:v>
      </x:c>
      <x:c r="I17" s="95" t="str">
        <x:v>Belum Mulai</x:v>
      </x:c>
      <x:c r="J17" s="96" t="n">
        <x:v>5</x:v>
      </x:c>
    </x:row>
    <x:row r="18" ht="46" customHeight="1">
      <x:c r="A18" s="94" t="str">
        <x:v>REG-03</x:v>
      </x:c>
      <x:c r="B18" s="80" t="str">
        <x:v>Pengajuan</x:v>
      </x:c>
      <x:c r="C18" s="80" t="str">
        <x:v>Sebagai pengaju, saya dapat memilih kategori dan jenis layanan aktif.</x:v>
      </x:c>
      <x:c r="D18" s="80" t="str">
        <x:v>Hanya master aktif pada effective date yang tersedia.</x:v>
      </x:c>
      <x:c r="E18" s="95" t="str">
        <x:v>P0</x:v>
      </x:c>
      <x:c r="F18" s="95" t="str">
        <x:v>Sprint 2</x:v>
      </x:c>
      <x:c r="G18" s="80" t="str">
        <x:v>Frontend</x:v>
      </x:c>
      <x:c r="H18" s="80" t="str">
        <x:v>REG-01|REG-02</x:v>
      </x:c>
      <x:c r="I18" s="95" t="str">
        <x:v>Belum Mulai</x:v>
      </x:c>
      <x:c r="J18" s="96" t="n">
        <x:v>3</x:v>
      </x:c>
    </x:row>
    <x:row r="19" ht="46" customHeight="1">
      <x:c r="A19" s="94" t="str">
        <x:v>REG-04</x:v>
      </x:c>
      <x:c r="B19" s="80" t="str">
        <x:v>Pengajuan</x:v>
      </x:c>
      <x:c r="C19" s="80" t="str">
        <x:v>Sebagai pengaju, saya dapat mengunggah cover dan 2–3 halaman awal.</x:v>
      </x:c>
      <x:c r="D19" s="80" t="str">
        <x:v>Jenis COVER/SAMPLE; validasi file; checksum dan versi tercatat.</x:v>
      </x:c>
      <x:c r="E19" s="95" t="str">
        <x:v>P0</x:v>
      </x:c>
      <x:c r="F19" s="95" t="str">
        <x:v>Sprint 2</x:v>
      </x:c>
      <x:c r="G19" s="80" t="str">
        <x:v>Fullstack</x:v>
      </x:c>
      <x:c r="H19" s="80" t="str">
        <x:v>REG-01|REG-02</x:v>
      </x:c>
      <x:c r="I19" s="95" t="str">
        <x:v>Belum Mulai</x:v>
      </x:c>
      <x:c r="J19" s="96" t="n">
        <x:v>5</x:v>
      </x:c>
    </x:row>
    <x:row r="20" ht="46" customHeight="1">
      <x:c r="A20" s="94" t="str">
        <x:v>REG-05</x:v>
      </x:c>
      <x:c r="B20" s="80" t="str">
        <x:v>Pengajuan</x:v>
      </x:c>
      <x:c r="C20" s="80" t="str">
        <x:v>Sebagai pengaju, saya dapat mengajukan draft lengkap.</x:v>
      </x:c>
      <x:c r="D20" s="80" t="str">
        <x:v>Nomor unik dibuat saat submit; draft tak lengkap ditolak.</x:v>
      </x:c>
      <x:c r="E20" s="95" t="str">
        <x:v>P0</x:v>
      </x:c>
      <x:c r="F20" s="95" t="str">
        <x:v>Sprint 2</x:v>
      </x:c>
      <x:c r="G20" s="80" t="str">
        <x:v>Backend</x:v>
      </x:c>
      <x:c r="H20" s="80" t="str">
        <x:v>REG-03,REG-04</x:v>
      </x:c>
      <x:c r="I20" s="95" t="str">
        <x:v>Belum Mulai</x:v>
      </x:c>
      <x:c r="J20" s="96" t="n">
        <x:v>5</x:v>
      </x:c>
    </x:row>
    <x:row r="21" ht="46" customHeight="1">
      <x:c r="A21" s="94" t="str">
        <x:v>REG-06</x:v>
      </x:c>
      <x:c r="B21" s="80" t="str">
        <x:v>Pengajuan</x:v>
      </x:c>
      <x:c r="C21" s="80" t="str">
        <x:v>Sebagai petugas, saya dapat mencari dan memfilter pengajuan.</x:v>
      </x:c>
      <x:c r="D21" s="80" t="str">
        <x:v>Pagination, status, penerbit, kategori, sumber, dan periode berfungsi.</x:v>
      </x:c>
      <x:c r="E21" s="95" t="str">
        <x:v>P1</x:v>
      </x:c>
      <x:c r="F21" s="95" t="str">
        <x:v>Sprint 2</x:v>
      </x:c>
      <x:c r="G21" s="80" t="str">
        <x:v>Fullstack</x:v>
      </x:c>
      <x:c r="H21" s="80" t="str">
        <x:v>REG-05</x:v>
      </x:c>
      <x:c r="I21" s="95" t="str">
        <x:v>Belum Mulai</x:v>
      </x:c>
      <x:c r="J21" s="96" t="n">
        <x:v>3</x:v>
      </x:c>
    </x:row>
    <x:row r="22" ht="46" customHeight="1">
      <x:c r="A22" s="94" t="str">
        <x:v>VER-01</x:v>
      </x:c>
      <x:c r="B22" s="80" t="str">
        <x:v>Verifikasi</x:v>
      </x:c>
      <x:c r="C22" s="80" t="str">
        <x:v>Sebagai admin, saya dapat menugaskan pengajuan kepada verifikator.</x:v>
      </x:c>
      <x:c r="D22" s="80" t="str">
        <x:v>Verifier, waktu, dan pemberi tugas tercatat.</x:v>
      </x:c>
      <x:c r="E22" s="95" t="str">
        <x:v>P0</x:v>
      </x:c>
      <x:c r="F22" s="95" t="str">
        <x:v>Sprint 2</x:v>
      </x:c>
      <x:c r="G22" s="80" t="str">
        <x:v>Fullstack</x:v>
      </x:c>
      <x:c r="H22" s="80" t="str">
        <x:v>REG-05</x:v>
      </x:c>
      <x:c r="I22" s="95" t="str">
        <x:v>Belum Mulai</x:v>
      </x:c>
      <x:c r="J22" s="96" t="n">
        <x:v>3</x:v>
      </x:c>
    </x:row>
    <x:row r="23" ht="46" customHeight="1">
      <x:c r="A23" s="94" t="str">
        <x:v>VER-02</x:v>
      </x:c>
      <x:c r="B23" s="80" t="str">
        <x:v>Verifikasi</x:v>
      </x:c>
      <x:c r="C23" s="80" t="str">
        <x:v>Sebagai verifikator, saya melihat tab Tugas Saya.</x:v>
      </x:c>
      <x:c r="D23" s="80" t="str">
        <x:v>Hanya item sesuai verifier_id; dapat difilter menurut status.</x:v>
      </x:c>
      <x:c r="E23" s="95" t="str">
        <x:v>P0</x:v>
      </x:c>
      <x:c r="F23" s="95" t="str">
        <x:v>Sprint 2</x:v>
      </x:c>
      <x:c r="G23" s="80" t="str">
        <x:v>Frontend</x:v>
      </x:c>
      <x:c r="H23" s="80" t="str">
        <x:v>VER-01</x:v>
      </x:c>
      <x:c r="I23" s="95" t="str">
        <x:v>Belum Mulai</x:v>
      </x:c>
      <x:c r="J23" s="96" t="n">
        <x:v>3</x:v>
      </x:c>
    </x:row>
    <x:row r="24" ht="46" customHeight="1">
      <x:c r="A24" s="94" t="str">
        <x:v>VER-03</x:v>
      </x:c>
      <x:c r="B24" s="80" t="str">
        <x:v>Verifikasi</x:v>
      </x:c>
      <x:c r="C24" s="80" t="str">
        <x:v>Sebagai verifikator, saya dapat memulai pemeriksaan.</x:v>
      </x:c>
      <x:c r="D24" s="80" t="str">
        <x:v>Status berubah READY_FOR_VERIFICATION ke IN_VERIFICATION; audit tercatat.</x:v>
      </x:c>
      <x:c r="E24" s="95" t="str">
        <x:v>P0</x:v>
      </x:c>
      <x:c r="F24" s="95" t="str">
        <x:v>Sprint 2</x:v>
      </x:c>
      <x:c r="G24" s="80" t="str">
        <x:v>Backend</x:v>
      </x:c>
      <x:c r="H24" s="80" t="str">
        <x:v>VER-01</x:v>
      </x:c>
      <x:c r="I24" s="95" t="str">
        <x:v>Belum Mulai</x:v>
      </x:c>
      <x:c r="J24" s="96" t="n">
        <x:v>3</x:v>
      </x:c>
    </x:row>
    <x:row r="25" ht="46" customHeight="1">
      <x:c r="A25" s="94" t="str">
        <x:v>VER-04</x:v>
      </x:c>
      <x:c r="B25" s="80" t="str">
        <x:v>Verifikasi</x:v>
      </x:c>
      <x:c r="C25" s="80" t="str">
        <x:v>Sebagai verifikator, saya dapat meminta perbaikan berkas.</x:v>
      </x:c>
      <x:c r="D25" s="80" t="str">
        <x:v>Alasan wajib; status REVISION_REQUIRED; penerbit mendapat notifikasi.</x:v>
      </x:c>
      <x:c r="E25" s="95" t="str">
        <x:v>P0</x:v>
      </x:c>
      <x:c r="F25" s="95" t="str">
        <x:v>Sprint 2</x:v>
      </x:c>
      <x:c r="G25" s="80" t="str">
        <x:v>Fullstack</x:v>
      </x:c>
      <x:c r="H25" s="80" t="str">
        <x:v>VER-03</x:v>
      </x:c>
      <x:c r="I25" s="95" t="str">
        <x:v>Belum Mulai</x:v>
      </x:c>
      <x:c r="J25" s="96" t="n">
        <x:v>5</x:v>
      </x:c>
    </x:row>
    <x:row r="26" ht="46" customHeight="1">
      <x:c r="A26" s="94" t="str">
        <x:v>VER-05</x:v>
      </x:c>
      <x:c r="B26" s="80" t="str">
        <x:v>Verifikasi</x:v>
      </x:c>
      <x:c r="C26" s="80" t="str">
        <x:v>Sebagai verifikator, saya dapat menyatakan berkas sesuai.</x:v>
      </x:c>
      <x:c r="D26" s="80" t="str">
        <x:v>Checklist wajib lengkap; status WAITING_DISTRIBUTION.</x:v>
      </x:c>
      <x:c r="E26" s="95" t="str">
        <x:v>P0</x:v>
      </x:c>
      <x:c r="F26" s="95" t="str">
        <x:v>Sprint 2</x:v>
      </x:c>
      <x:c r="G26" s="80" t="str">
        <x:v>Fullstack</x:v>
      </x:c>
      <x:c r="H26" s="80" t="str">
        <x:v>VER-03</x:v>
      </x:c>
      <x:c r="I26" s="95" t="str">
        <x:v>Belum Mulai</x:v>
      </x:c>
      <x:c r="J26" s="96" t="n">
        <x:v>5</x:v>
      </x:c>
    </x:row>
    <x:row r="27" ht="46" customHeight="1">
      <x:c r="A27" s="94" t="str">
        <x:v>CALC-01</x:v>
      </x:c>
      <x:c r="B27" s="80" t="str">
        <x:v>Tarif &amp; SLA</x:v>
      </x:c>
      <x:c r="C27" s="80" t="str">
        <x:v>Sebagai pengaju, saya melihat preview tarif dan estimasi durasi.</x:v>
      </x:c>
      <x:c r="D27" s="80" t="str">
        <x:v>Komponen, total, dan durasi tampil dari master aktif.</x:v>
      </x:c>
      <x:c r="E27" s="95" t="str">
        <x:v>P0</x:v>
      </x:c>
      <x:c r="F27" s="95" t="str">
        <x:v>Sprint 3</x:v>
      </x:c>
      <x:c r="G27" s="80" t="str">
        <x:v>Fullstack</x:v>
      </x:c>
      <x:c r="H27" s="80" t="str">
        <x:v>REG-03,MST-02</x:v>
      </x:c>
      <x:c r="I27" s="95" t="str">
        <x:v>Belum Mulai</x:v>
      </x:c>
      <x:c r="J27" s="96" t="n">
        <x:v>5</x:v>
      </x:c>
    </x:row>
    <x:row r="28" ht="46" customHeight="1">
      <x:c r="A28" s="94" t="str">
        <x:v>CALC-02</x:v>
      </x:c>
      <x:c r="B28" s="80" t="str">
        <x:v>Tarif &amp; SLA</x:v>
      </x:c>
      <x:c r="C28" s="80" t="str">
        <x:v>Sebagai sistem, saya menyimpan snapshot tarif dan SLA.</x:v>
      </x:c>
      <x:c r="D28" s="80" t="str">
        <x:v>Master/version/reference tersimpan; transaksi lama tidak ikut berubah.</x:v>
      </x:c>
      <x:c r="E28" s="95" t="str">
        <x:v>P0</x:v>
      </x:c>
      <x:c r="F28" s="95" t="str">
        <x:v>Sprint 3</x:v>
      </x:c>
      <x:c r="G28" s="80" t="str">
        <x:v>Backend</x:v>
      </x:c>
      <x:c r="H28" s="80" t="str">
        <x:v>CALC-01</x:v>
      </x:c>
      <x:c r="I28" s="95" t="str">
        <x:v>Belum Mulai</x:v>
      </x:c>
      <x:c r="J28" s="96" t="n">
        <x:v>5</x:v>
      </x:c>
    </x:row>
    <x:row r="29" ht="46" customHeight="1">
      <x:c r="A29" s="94" t="str">
        <x:v>CALC-03</x:v>
      </x:c>
      <x:c r="B29" s="80" t="str">
        <x:v>Tarif &amp; SLA</x:v>
      </x:c>
      <x:c r="C29" s="80" t="str">
        <x:v>Sebagai admin, saya dapat mengelola kalender kerja.</x:v>
      </x:c>
      <x:c r="D29" s="80" t="str">
        <x:v>Hari kerja/libur dapat dikonfigurasi dan diaudit.</x:v>
      </x:c>
      <x:c r="E29" s="95" t="str">
        <x:v>P1</x:v>
      </x:c>
      <x:c r="F29" s="95" t="str">
        <x:v>Sprint 3</x:v>
      </x:c>
      <x:c r="G29" s="80" t="str">
        <x:v>Fullstack</x:v>
      </x:c>
      <x:c r="H29" s="80" t="str">
        <x:v>AUTH-02</x:v>
      </x:c>
      <x:c r="I29" s="95" t="str">
        <x:v>Belum Mulai</x:v>
      </x:c>
      <x:c r="J29" s="96" t="n">
        <x:v>3</x:v>
      </x:c>
    </x:row>
    <x:row r="30" ht="46" customHeight="1">
      <x:c r="A30" s="94" t="str">
        <x:v>PAY-01</x:v>
      </x:c>
      <x:c r="B30" s="80" t="str">
        <x:v>Pembayaran</x:v>
      </x:c>
      <x:c r="C30" s="80" t="str">
        <x:v>Sebagai petugas, saya dapat mencatat billing manual.</x:v>
      </x:c>
      <x:c r="D30" s="80" t="str">
        <x:v>Nomor, nominal, tanggal, tenggat, provider=MANUAL tersimpan.</x:v>
      </x:c>
      <x:c r="E30" s="95" t="str">
        <x:v>P0</x:v>
      </x:c>
      <x:c r="F30" s="95" t="str">
        <x:v>Sprint 3</x:v>
      </x:c>
      <x:c r="G30" s="80" t="str">
        <x:v>Fullstack</x:v>
      </x:c>
      <x:c r="H30" s="80" t="str">
        <x:v>CALC-02</x:v>
      </x:c>
      <x:c r="I30" s="95" t="str">
        <x:v>Belum Mulai</x:v>
      </x:c>
      <x:c r="J30" s="96" t="n">
        <x:v>5</x:v>
      </x:c>
    </x:row>
    <x:row r="31" ht="46" customHeight="1">
      <x:c r="A31" s="94" t="str">
        <x:v>PAY-02</x:v>
      </x:c>
      <x:c r="B31" s="80" t="str">
        <x:v>Pembayaran</x:v>
      </x:c>
      <x:c r="C31" s="80" t="str">
        <x:v>Sebagai petugas, saya dapat mengunggah bukti pembayaran.</x:v>
      </x:c>
      <x:c r="D31" s="80" t="str">
        <x:v>File privat, versi, pengunggah, dan waktu tercatat.</x:v>
      </x:c>
      <x:c r="E31" s="95" t="str">
        <x:v>P0</x:v>
      </x:c>
      <x:c r="F31" s="95" t="str">
        <x:v>Sprint 3</x:v>
      </x:c>
      <x:c r="G31" s="80" t="str">
        <x:v>Fullstack</x:v>
      </x:c>
      <x:c r="H31" s="80" t="str">
        <x:v>PAY-01</x:v>
      </x:c>
      <x:c r="I31" s="95" t="str">
        <x:v>Belum Mulai</x:v>
      </x:c>
      <x:c r="J31" s="96" t="n">
        <x:v>3</x:v>
      </x:c>
    </x:row>
    <x:row r="32" ht="46" customHeight="1">
      <x:c r="A32" s="94" t="str">
        <x:v>PAY-03</x:v>
      </x:c>
      <x:c r="B32" s="80" t="str">
        <x:v>Pembayaran</x:v>
      </x:c>
      <x:c r="C32" s="80" t="str">
        <x:v>Sebagai petugas, saya dapat mengonfirmasi pembayaran.</x:v>
      </x:c>
      <x:c r="D32" s="80" t="str">
        <x:v>Status, tanggal, aktor, dan catatan tercatat; audit aktif.</x:v>
      </x:c>
      <x:c r="E32" s="95" t="str">
        <x:v>P0</x:v>
      </x:c>
      <x:c r="F32" s="95" t="str">
        <x:v>Sprint 3</x:v>
      </x:c>
      <x:c r="G32" s="80" t="str">
        <x:v>Backend</x:v>
      </x:c>
      <x:c r="H32" s="80" t="str">
        <x:v>PAY-02</x:v>
      </x:c>
      <x:c r="I32" s="95" t="str">
        <x:v>Belum Mulai</x:v>
      </x:c>
      <x:c r="J32" s="96" t="n">
        <x:v>3</x:v>
      </x:c>
    </x:row>
    <x:row r="33" ht="46" customHeight="1">
      <x:c r="A33" s="94" t="str">
        <x:v>PAY-04</x:v>
      </x:c>
      <x:c r="B33" s="80" t="str">
        <x:v>Pembayaran</x:v>
      </x:c>
      <x:c r="C33" s="80" t="str">
        <x:v>Sebagai sistem, saya mencegah dua billing aktif.</x:v>
      </x:c>
      <x:c r="D33" s="80" t="str">
        <x:v>Pembuatan billing kedua ditolak atau billing sebelumnya ditutup secara eksplisit.</x:v>
      </x:c>
      <x:c r="E33" s="95" t="str">
        <x:v>P0</x:v>
      </x:c>
      <x:c r="F33" s="95" t="str">
        <x:v>Sprint 3</x:v>
      </x:c>
      <x:c r="G33" s="80" t="str">
        <x:v>Backend</x:v>
      </x:c>
      <x:c r="H33" s="80" t="str">
        <x:v>PAY-01</x:v>
      </x:c>
      <x:c r="I33" s="95" t="str">
        <x:v>Belum Mulai</x:v>
      </x:c>
      <x:c r="J33" s="96" t="n">
        <x:v>3</x:v>
      </x:c>
    </x:row>
    <x:row r="34" ht="46" customHeight="1">
      <x:c r="A34" s="94" t="str">
        <x:v>DIST-01</x:v>
      </x:c>
      <x:c r="B34" s="80" t="str">
        <x:v>Distribusi</x:v>
      </x:c>
      <x:c r="C34" s="80" t="str">
        <x:v>Sebagai distributor, saya melihat antrean siap distribusi.</x:v>
      </x:c>
      <x:c r="D34" s="80" t="str">
        <x:v>Hanya pengajuan berstatus WAITING_DISTRIBUTION dan berizin.</x:v>
      </x:c>
      <x:c r="E34" s="95" t="str">
        <x:v>P0</x:v>
      </x:c>
      <x:c r="F34" s="95" t="str">
        <x:v>Sprint 4</x:v>
      </x:c>
      <x:c r="G34" s="80" t="str">
        <x:v>Frontend</x:v>
      </x:c>
      <x:c r="H34" s="80" t="str">
        <x:v>VER-05,PAY-03</x:v>
      </x:c>
      <x:c r="I34" s="95" t="str">
        <x:v>Belum Mulai</x:v>
      </x:c>
      <x:c r="J34" s="96" t="n">
        <x:v>3</x:v>
      </x:c>
    </x:row>
    <x:row r="35" ht="46" customHeight="1">
      <x:c r="A35" s="94" t="str">
        <x:v>DIST-02</x:v>
      </x:c>
      <x:c r="B35" s="80" t="str">
        <x:v>Distribusi</x:v>
      </x:c>
      <x:c r="C35" s="80" t="str">
        <x:v>Sebagai distributor, saya dapat menugaskan tim/pentashih.</x:v>
      </x:c>
      <x:c r="D35" s="80" t="str">
        <x:v>Tim aktif, tahap, iteration, due date, aktor tercatat.</x:v>
      </x:c>
      <x:c r="E35" s="95" t="str">
        <x:v>P0</x:v>
      </x:c>
      <x:c r="F35" s="95" t="str">
        <x:v>Sprint 4</x:v>
      </x:c>
      <x:c r="G35" s="80" t="str">
        <x:v>Fullstack</x:v>
      </x:c>
      <x:c r="H35" s="80" t="str">
        <x:v>DIST-01,MST-03</x:v>
      </x:c>
      <x:c r="I35" s="95" t="str">
        <x:v>Belum Mulai</x:v>
      </x:c>
      <x:c r="J35" s="96" t="n">
        <x:v>5</x:v>
      </x:c>
    </x:row>
    <x:row r="36" ht="46" customHeight="1">
      <x:c r="A36" s="94" t="str">
        <x:v>DIST-03</x:v>
      </x:c>
      <x:c r="B36" s="80" t="str">
        <x:v>Distribusi</x:v>
      </x:c>
      <x:c r="C36" s="80" t="str">
        <x:v>Sebagai sistem, saya membedakan tahap awal, perbaikan, dan dumi.</x:v>
      </x:c>
      <x:c r="D36" s="80" t="str">
        <x:v>Stage hanya INITIAL/REVISION/DUMI; transisi tervalidasi.</x:v>
      </x:c>
      <x:c r="E36" s="95" t="str">
        <x:v>P0</x:v>
      </x:c>
      <x:c r="F36" s="95" t="str">
        <x:v>Sprint 4</x:v>
      </x:c>
      <x:c r="G36" s="80" t="str">
        <x:v>Backend</x:v>
      </x:c>
      <x:c r="H36" s="80" t="str">
        <x:v>DIST-02</x:v>
      </x:c>
      <x:c r="I36" s="95" t="str">
        <x:v>Belum Mulai</x:v>
      </x:c>
      <x:c r="J36" s="96" t="n">
        <x:v>5</x:v>
      </x:c>
    </x:row>
    <x:row r="37" ht="46" customHeight="1">
      <x:c r="A37" s="94" t="str">
        <x:v>DIST-04</x:v>
      </x:c>
      <x:c r="B37" s="80" t="str">
        <x:v>Distribusi</x:v>
      </x:c>
      <x:c r="C37" s="80" t="str">
        <x:v>Sebagai distributor, saya dapat membuat iterasi perbaikan berulang.</x:v>
      </x:c>
      <x:c r="D37" s="80" t="str">
        <x:v>Nomor iterasi meningkat; histori dan hasil sebelumnya tidak tertimpa.</x:v>
      </x:c>
      <x:c r="E37" s="95" t="str">
        <x:v>P0</x:v>
      </x:c>
      <x:c r="F37" s="95" t="str">
        <x:v>Sprint 4</x:v>
      </x:c>
      <x:c r="G37" s="80" t="str">
        <x:v>Backend</x:v>
      </x:c>
      <x:c r="H37" s="80" t="str">
        <x:v>DIST-03</x:v>
      </x:c>
      <x:c r="I37" s="95" t="str">
        <x:v>Belum Mulai</x:v>
      </x:c>
      <x:c r="J37" s="96" t="n">
        <x:v>5</x:v>
      </x:c>
    </x:row>
    <x:row r="38" ht="46" customHeight="1">
      <x:c r="A38" s="94" t="str">
        <x:v>TASH-01</x:v>
      </x:c>
      <x:c r="B38" s="80" t="str">
        <x:v>Pentashihan</x:v>
      </x:c>
      <x:c r="C38" s="80" t="str">
        <x:v>Sebagai pentashih, saya melihat penugasan saya.</x:v>
      </x:c>
      <x:c r="D38" s="80" t="str">
        <x:v>Pengguna hanya melihat tugas yang berhak diakses.</x:v>
      </x:c>
      <x:c r="E38" s="95" t="str">
        <x:v>P0</x:v>
      </x:c>
      <x:c r="F38" s="95" t="str">
        <x:v>Sprint 4</x:v>
      </x:c>
      <x:c r="G38" s="80" t="str">
        <x:v>Fullstack</x:v>
      </x:c>
      <x:c r="H38" s="80" t="str">
        <x:v>DIST-02</x:v>
      </x:c>
      <x:c r="I38" s="95" t="str">
        <x:v>Belum Mulai</x:v>
      </x:c>
      <x:c r="J38" s="96" t="n">
        <x:v>3</x:v>
      </x:c>
    </x:row>
    <x:row r="39" ht="46" customHeight="1">
      <x:c r="A39" s="94" t="str">
        <x:v>TASH-02</x:v>
      </x:c>
      <x:c r="B39" s="80" t="str">
        <x:v>Pentashihan</x:v>
      </x:c>
      <x:c r="C39" s="80" t="str">
        <x:v>Sebagai pentashih, saya dapat mencatat hasil pemeriksaan.</x:v>
      </x:c>
      <x:c r="D39" s="80" t="str">
        <x:v>Hasil, catatan, versi naskah, dan waktu tersimpan.</x:v>
      </x:c>
      <x:c r="E39" s="95" t="str">
        <x:v>P0</x:v>
      </x:c>
      <x:c r="F39" s="95" t="str">
        <x:v>Sprint 4</x:v>
      </x:c>
      <x:c r="G39" s="80" t="str">
        <x:v>Fullstack</x:v>
      </x:c>
      <x:c r="H39" s="80" t="str">
        <x:v>TASH-01</x:v>
      </x:c>
      <x:c r="I39" s="95" t="str">
        <x:v>Belum Mulai</x:v>
      </x:c>
      <x:c r="J39" s="96" t="n">
        <x:v>5</x:v>
      </x:c>
    </x:row>
    <x:row r="40" ht="46" customHeight="1">
      <x:c r="A40" s="94" t="str">
        <x:v>TASH-03</x:v>
      </x:c>
      <x:c r="B40" s="80" t="str">
        <x:v>Pentashihan</x:v>
      </x:c>
      <x:c r="C40" s="80" t="str">
        <x:v>Sebagai ketua kelompok, saya dapat meninjau hasil kelompok.</x:v>
      </x:c>
      <x:c r="D40" s="80" t="str">
        <x:v>Hak tinjau mengikuti konfigurasi role dan tim; keputusan diaudit.</x:v>
      </x:c>
      <x:c r="E40" s="95" t="str">
        <x:v>P1</x:v>
      </x:c>
      <x:c r="F40" s="95" t="str">
        <x:v>Sprint 4</x:v>
      </x:c>
      <x:c r="G40" s="80" t="str">
        <x:v>Fullstack</x:v>
      </x:c>
      <x:c r="H40" s="80" t="str">
        <x:v>TASH-02</x:v>
      </x:c>
      <x:c r="I40" s="95" t="str">
        <x:v>Belum Mulai</x:v>
      </x:c>
      <x:c r="J40" s="96" t="n">
        <x:v>5</x:v>
      </x:c>
    </x:row>
    <x:row r="41" ht="46" customHeight="1">
      <x:c r="A41" s="94" t="str">
        <x:v>DOC-01</x:v>
      </x:c>
      <x:c r="B41" s="80" t="str">
        <x:v>Dokumentasi</x:v>
      </x:c>
      <x:c r="C41" s="80" t="str">
        <x:v>Sebagai dokumentator, saya melihat checklist dokumen per pengajuan.</x:v>
      </x:c>
      <x:c r="D41" s="80" t="str">
        <x:v>Item wajib/opsional dan progres tampil jelas.</x:v>
      </x:c>
      <x:c r="E41" s="95" t="str">
        <x:v>P0</x:v>
      </x:c>
      <x:c r="F41" s="95" t="str">
        <x:v>Sprint 5</x:v>
      </x:c>
      <x:c r="G41" s="80" t="str">
        <x:v>Fullstack</x:v>
      </x:c>
      <x:c r="H41" s="80" t="str">
        <x:v>TASH-02</x:v>
      </x:c>
      <x:c r="I41" s="95" t="str">
        <x:v>Belum Mulai</x:v>
      </x:c>
      <x:c r="J41" s="96" t="n">
        <x:v>5</x:v>
      </x:c>
    </x:row>
    <x:row r="42" ht="46" customHeight="1">
      <x:c r="A42" s="94" t="str">
        <x:v>DOC-02</x:v>
      </x:c>
      <x:c r="B42" s="80" t="str">
        <x:v>Dokumentasi</x:v>
      </x:c>
      <x:c r="C42" s="80" t="str">
        <x:v>Sebagai dokumentator, saya dapat mengunggah dan memeriksa item checklist.</x:v>
      </x:c>
      <x:c r="D42" s="80" t="str">
        <x:v>Status Belum Ada/Diunggah/Diperiksa; file/version/checker tercatat.</x:v>
      </x:c>
      <x:c r="E42" s="95" t="str">
        <x:v>P0</x:v>
      </x:c>
      <x:c r="F42" s="95" t="str">
        <x:v>Sprint 5</x:v>
      </x:c>
      <x:c r="G42" s="80" t="str">
        <x:v>Fullstack</x:v>
      </x:c>
      <x:c r="H42" s="80" t="str">
        <x:v>DOC-01</x:v>
      </x:c>
      <x:c r="I42" s="95" t="str">
        <x:v>Belum Mulai</x:v>
      </x:c>
      <x:c r="J42" s="96" t="n">
        <x:v>5</x:v>
      </x:c>
    </x:row>
    <x:row r="43" ht="46" customHeight="1">
      <x:c r="A43" s="94" t="str">
        <x:v>DOC-03</x:v>
      </x:c>
      <x:c r="B43" s="80" t="str">
        <x:v>Dokumentasi</x:v>
      </x:c>
      <x:c r="C43" s="80" t="str">
        <x:v>Sebagai dokumentator, saya dapat menerbitkan dokumen resmi.</x:v>
      </x:c>
      <x:c r="D43" s="80" t="str">
        <x:v>Nomor unik, PDF tersimpan, checklist wajib lengkap.</x:v>
      </x:c>
      <x:c r="E43" s="95" t="str">
        <x:v>P0</x:v>
      </x:c>
      <x:c r="F43" s="95" t="str">
        <x:v>Sprint 5</x:v>
      </x:c>
      <x:c r="G43" s="80" t="str">
        <x:v>Backend</x:v>
      </x:c>
      <x:c r="H43" s="80" t="str">
        <x:v>DOC-02</x:v>
      </x:c>
      <x:c r="I43" s="95" t="str">
        <x:v>Belum Mulai</x:v>
      </x:c>
      <x:c r="J43" s="96" t="n">
        <x:v>8</x:v>
      </x:c>
    </x:row>
    <x:row r="44" ht="46" customHeight="1">
      <x:c r="A44" s="94" t="str">
        <x:v>DOC-04</x:v>
      </x:c>
      <x:c r="B44" s="80" t="str">
        <x:v>Dokumentasi</x:v>
      </x:c>
      <x:c r="C44" s="80" t="str">
        <x:v>Sebagai sistem, saya mempertahankan riwayat versi dokumen.</x:v>
      </x:c>
      <x:c r="D44" s="80" t="str">
        <x:v>Satu versi aktif; versi lama tidak dihapus/ditimpa.</x:v>
      </x:c>
      <x:c r="E44" s="95" t="str">
        <x:v>P0</x:v>
      </x:c>
      <x:c r="F44" s="95" t="str">
        <x:v>Sprint 5</x:v>
      </x:c>
      <x:c r="G44" s="80" t="str">
        <x:v>Backend</x:v>
      </x:c>
      <x:c r="H44" s="80" t="str">
        <x:v>DOC-03</x:v>
      </x:c>
      <x:c r="I44" s="95" t="str">
        <x:v>Belum Mulai</x:v>
      </x:c>
      <x:c r="J44" s="96" t="n">
        <x:v>5</x:v>
      </x:c>
    </x:row>
    <x:row r="45" ht="46" customHeight="1">
      <x:c r="A45" s="94" t="str">
        <x:v>DOC-05</x:v>
      </x:c>
      <x:c r="B45" s="80" t="str">
        <x:v>Dokumentasi</x:v>
      </x:c>
      <x:c r="C45" s="80" t="str">
        <x:v>Sebagai petugas, saya dapat menentukan penandatangan generik.</x:v>
      </x:c>
      <x:c r="D45" s="80" t="str">
        <x:v>Snapshot nama/jabatan, metode, status, dan waktu tersimpan.</x:v>
      </x:c>
      <x:c r="E45" s="95" t="str">
        <x:v>P0</x:v>
      </x:c>
      <x:c r="F45" s="95" t="str">
        <x:v>Sprint 5</x:v>
      </x:c>
      <x:c r="G45" s="80" t="str">
        <x:v>Fullstack</x:v>
      </x:c>
      <x:c r="H45" s="80" t="str">
        <x:v>DOC-03</x:v>
      </x:c>
      <x:c r="I45" s="95" t="str">
        <x:v>Belum Mulai</x:v>
      </x:c>
      <x:c r="J45" s="96" t="n">
        <x:v>3</x:v>
      </x:c>
    </x:row>
    <x:row r="46" ht="46" customHeight="1">
      <x:c r="A46" s="94" t="str">
        <x:v>DOC-06</x:v>
      </x:c>
      <x:c r="B46" s="80" t="str">
        <x:v>Dokumentasi</x:v>
      </x:c>
      <x:c r="C46" s="80" t="str">
        <x:v>Sebagai publik, saya dapat memverifikasi dokumen melalui token/QR.</x:v>
      </x:c>
      <x:c r="D46" s="80" t="str">
        <x:v>Hanya informasi minimum; rate limit; token tidak mudah ditebak.</x:v>
      </x:c>
      <x:c r="E46" s="95" t="str">
        <x:v>P1</x:v>
      </x:c>
      <x:c r="F46" s="95" t="str">
        <x:v>Sprint 5</x:v>
      </x:c>
      <x:c r="G46" s="80" t="str">
        <x:v>Fullstack</x:v>
      </x:c>
      <x:c r="H46" s="80" t="str">
        <x:v>DOC-03</x:v>
      </x:c>
      <x:c r="I46" s="95" t="str">
        <x:v>Belum Mulai</x:v>
      </x:c>
      <x:c r="J46" s="96" t="n">
        <x:v>5</x:v>
      </x:c>
    </x:row>
    <x:row r="47" ht="46" customHeight="1">
      <x:c r="A47" s="94" t="str">
        <x:v>OPS-01</x:v>
      </x:c>
      <x:c r="B47" s="80" t="str">
        <x:v>Operasional</x:v>
      </x:c>
      <x:c r="C47" s="80" t="str">
        <x:v>Sebagai pengguna, saya melihat dashboard sesuai role.</x:v>
      </x:c>
      <x:c r="D47" s="80" t="str">
        <x:v>Kartu dan antrean hanya menampilkan data berizin.</x:v>
      </x:c>
      <x:c r="E47" s="95" t="str">
        <x:v>P0</x:v>
      </x:c>
      <x:c r="F47" s="95" t="str">
        <x:v>Sprint 6</x:v>
      </x:c>
      <x:c r="G47" s="80" t="str">
        <x:v>Fullstack</x:v>
      </x:c>
      <x:c r="H47" s="80" t="str">
        <x:v>Fitur P0</x:v>
      </x:c>
      <x:c r="I47" s="95" t="str">
        <x:v>Belum Mulai</x:v>
      </x:c>
      <x:c r="J47" s="96" t="n">
        <x:v>5</x:v>
      </x:c>
    </x:row>
    <x:row r="48" ht="46" customHeight="1">
      <x:c r="A48" s="94" t="str">
        <x:v>OPS-02</x:v>
      </x:c>
      <x:c r="B48" s="80" t="str">
        <x:v>Operasional</x:v>
      </x:c>
      <x:c r="C48" s="80" t="str">
        <x:v>Sebagai pimpinan, saya melihat laporan pengajuan, PNBP, SLA, dan beban kerja.</x:v>
      </x:c>
      <x:c r="D48" s="80" t="str">
        <x:v>Filter periode konsisten; definisi metrik terdokumentasi.</x:v>
      </x:c>
      <x:c r="E48" s="95" t="str">
        <x:v>P1</x:v>
      </x:c>
      <x:c r="F48" s="95" t="str">
        <x:v>Sprint 6</x:v>
      </x:c>
      <x:c r="G48" s="80" t="str">
        <x:v>Fullstack</x:v>
      </x:c>
      <x:c r="H48" s="80" t="str">
        <x:v>Data transaksi</x:v>
      </x:c>
      <x:c r="I48" s="95" t="str">
        <x:v>Belum Mulai</x:v>
      </x:c>
      <x:c r="J48" s="96" t="n">
        <x:v>8</x:v>
      </x:c>
    </x:row>
    <x:row r="49" ht="46" customHeight="1">
      <x:c r="A49" s="94" t="str">
        <x:v>OPS-03</x:v>
      </x:c>
      <x:c r="B49" s="80" t="str">
        <x:v>Operasional</x:v>
      </x:c>
      <x:c r="C49" s="80" t="str">
        <x:v>Sebagai petugas, saya menerima notifikasi tindakan penting.</x:v>
      </x:c>
      <x:c r="D49" s="80" t="str">
        <x:v>Tugas, revisi, pembayaran, distribusi, dan dokumen memicu notifikasi.</x:v>
      </x:c>
      <x:c r="E49" s="95" t="str">
        <x:v>P1</x:v>
      </x:c>
      <x:c r="F49" s="95" t="str">
        <x:v>Sprint 6</x:v>
      </x:c>
      <x:c r="G49" s="80" t="str">
        <x:v>Backend</x:v>
      </x:c>
      <x:c r="H49" s="80" t="str">
        <x:v>Fitur P0</x:v>
      </x:c>
      <x:c r="I49" s="95" t="str">
        <x:v>Belum Mulai</x:v>
      </x:c>
      <x:c r="J49" s="96" t="n">
        <x:v>5</x:v>
      </x:c>
    </x:row>
    <x:row r="50" ht="46" customHeight="1">
      <x:c r="A50" s="94" t="str">
        <x:v>OPS-04</x:v>
      </x:c>
      <x:c r="B50" s="80" t="str">
        <x:v>Operasional</x:v>
      </x:c>
      <x:c r="C50" s="80" t="str">
        <x:v>Sebagai auditor, saya dapat membaca audit log.</x:v>
      </x:c>
      <x:c r="D50" s="80" t="str">
        <x:v>Append-only; filter aktor/aksi/waktu; akses read-only.</x:v>
      </x:c>
      <x:c r="E50" s="95" t="str">
        <x:v>P0</x:v>
      </x:c>
      <x:c r="F50" s="95" t="str">
        <x:v>Sprint 6</x:v>
      </x:c>
      <x:c r="G50" s="80" t="str">
        <x:v>Fullstack</x:v>
      </x:c>
      <x:c r="H50" s="80" t="str">
        <x:v>Semua modul</x:v>
      </x:c>
      <x:c r="I50" s="95" t="str">
        <x:v>Belum Mulai</x:v>
      </x:c>
      <x:c r="J50" s="96" t="n">
        <x:v>5</x:v>
      </x:c>
    </x:row>
    <x:row r="51" ht="46" customHeight="1">
      <x:c r="A51" s="94" t="str">
        <x:v>OPS-05</x:v>
      </x:c>
      <x:c r="B51" s="80" t="str">
        <x:v>Operasional</x:v>
      </x:c>
      <x:c r="C51" s="80" t="str">
        <x:v>Sebagai petugas, saya dapat mengekspor laporan sesuai izin.</x:v>
      </x:c>
      <x:c r="D51" s="80" t="str">
        <x:v>Ekspor PDF/Excel memakai filter yang sama dengan layar.</x:v>
      </x:c>
      <x:c r="E51" s="95" t="str">
        <x:v>P1</x:v>
      </x:c>
      <x:c r="F51" s="95" t="str">
        <x:v>Sprint 6</x:v>
      </x:c>
      <x:c r="G51" s="80" t="str">
        <x:v>Backend</x:v>
      </x:c>
      <x:c r="H51" s="80" t="str">
        <x:v>OPS-02</x:v>
      </x:c>
      <x:c r="I51" s="95" t="str">
        <x:v>Belum Mulai</x:v>
      </x:c>
      <x:c r="J51" s="96" t="n">
        <x:v>5</x:v>
      </x:c>
    </x:row>
    <x:row r="52" ht="46" customHeight="1">
      <x:c r="A52" s="94" t="str">
        <x:v>SEC-01</x:v>
      </x:c>
      <x:c r="B52" s="80" t="str">
        <x:v>Keamanan</x:v>
      </x:c>
      <x:c r="C52" s="80" t="str">
        <x:v>Sebagai organisasi, akses lintas penerbit dan IDOR harus dicegah.</x:v>
      </x:c>
      <x:c r="D52" s="80" t="str">
        <x:v>Tes negatif endpoint/detail/file lulus.</x:v>
      </x:c>
      <x:c r="E52" s="95" t="str">
        <x:v>P0</x:v>
      </x:c>
      <x:c r="F52" s="95" t="str">
        <x:v>Sprint 6</x:v>
      </x:c>
      <x:c r="G52" s="80" t="str">
        <x:v>QA/Backend</x:v>
      </x:c>
      <x:c r="H52" s="80" t="str">
        <x:v>Semua modul</x:v>
      </x:c>
      <x:c r="I52" s="95" t="str">
        <x:v>Belum Mulai</x:v>
      </x:c>
      <x:c r="J52" s="96" t="n">
        <x:v>5</x:v>
      </x:c>
    </x:row>
    <x:row r="53" ht="46" customHeight="1">
      <x:c r="A53" s="94" t="str">
        <x:v>SEC-02</x:v>
      </x:c>
      <x:c r="B53" s="80" t="str">
        <x:v>Keamanan</x:v>
      </x:c>
      <x:c r="C53" s="80" t="str">
        <x:v>Sebagai organisasi, unggahan file harus aman.</x:v>
      </x:c>
      <x:c r="D53" s="80" t="str">
        <x:v>Validasi MIME/ekstensi/ukuran; nama aman; penyimpanan privat.</x:v>
      </x:c>
      <x:c r="E53" s="95" t="str">
        <x:v>P0</x:v>
      </x:c>
      <x:c r="F53" s="95" t="str">
        <x:v>Sprint 6</x:v>
      </x:c>
      <x:c r="G53" s="80" t="str">
        <x:v>QA/Backend</x:v>
      </x:c>
      <x:c r="H53" s="80" t="str">
        <x:v>REG-04,PAY-02,DOC-02</x:v>
      </x:c>
      <x:c r="I53" s="95" t="str">
        <x:v>Belum Mulai</x:v>
      </x:c>
      <x:c r="J53" s="96" t="n">
        <x:v>5</x:v>
      </x:c>
    </x:row>
    <x:row r="54" ht="46" customHeight="1">
      <x:c r="A54" s="94" t="str">
        <x:v>UAT-01</x:v>
      </x:c>
      <x:c r="B54" s="80" t="str">
        <x:v>UAT</x:v>
      </x:c>
      <x:c r="C54" s="80" t="str">
        <x:v>Sebagai stakeholder, saya dapat memvalidasi alur end-to-end.</x:v>
      </x:c>
      <x:c r="D54" s="80" t="str">
        <x:v>Skenario portal, input admin, revisi, dan selesai ditandatangani pada UAT.</x:v>
      </x:c>
      <x:c r="E54" s="95" t="str">
        <x:v>P0</x:v>
      </x:c>
      <x:c r="F54" s="95" t="str">
        <x:v>Sprint 6</x:v>
      </x:c>
      <x:c r="G54" s="80" t="str">
        <x:v>QA/PO</x:v>
      </x:c>
      <x:c r="H54" s="80" t="str">
        <x:v>Semua P0</x:v>
      </x:c>
      <x:c r="I54" s="95" t="str">
        <x:v>Belum Mulai</x:v>
      </x:c>
      <x:c r="J54" s="96" t="n">
        <x:v>8</x:v>
      </x:c>
    </x:row>
  </x:sheetData>
  <x:mergeCells>
    <x:mergeCell ref="A1:J1"/>
    <x:mergeCell ref="A2:J2"/>
  </x:mergeCells>
  <x:conditionalFormatting sqref="E5:E54">
    <x:cfRule type="containsText" dxfId="0" priority="1" operator="containsText" text="P0"/>
    <x:cfRule type="containsText" dxfId="1" priority="2" operator="containsText" text="P1"/>
  </x:conditionalFormatting>
  <x:conditionalFormatting sqref="I5:I54">
    <x:cfRule type="containsText" dxfId="2" priority="3" operator="containsText" text="Selesai"/>
    <x:cfRule type="containsText" dxfId="3" priority="4" operator="containsText" text="Terblokir"/>
  </x:conditionalFormatting>
  <x:dataValidations count="2">
    <x:dataValidation type="list" sqref="E5:E54">
      <x:formula1>"P0,P1,P2"</x:formula1>
    </x:dataValidation>
    <x:dataValidation type="list" sqref="I5:I54">
      <x:formula1>"Belum Mulai,Siap,Dikerjakan,Review,Selesai,Terblokir"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d01a87b12042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38" hidden="0" customWidth="1"/>
    <x:col min="4" max="4" width="32" hidden="0" customWidth="1"/>
    <x:col min="5" max="5" width="34" hidden="0" customWidth="1"/>
    <x:col min="6" max="6" width="30" hidden="0" customWidth="1"/>
    <x:col min="7" max="7" width="16" hidden="0" customWidth="1"/>
  </x:cols>
  <x:sheetData>
    <x:row r="1" ht="34" customHeight="1">
      <x:c r="A1" s="61" t="str">
        <x:v>RENCANA SPRINT MVP</x:v>
      </x:c>
      <x:c r="B1" s="61"/>
      <x:c r="C1" s="61"/>
      <x:c r="D1" s="61"/>
      <x:c r="E1" s="61"/>
      <x:c r="F1" s="61"/>
      <x:c r="G1" s="61"/>
    </x:row>
    <x:row r="2" ht="28" customHeight="1">
      <x:c r="A2" s="62" t="str">
        <x:v>Durasi disarankan dua minggu per sprint dan tetap menyesuaikan kapasitas tim magang serta ketersediaan stakeholder.</x:v>
      </x:c>
      <x:c r="B2" s="62"/>
      <x:c r="C2" s="62"/>
      <x:c r="D2" s="62"/>
      <x:c r="E2" s="62"/>
      <x:c r="F2" s="62"/>
      <x:c r="G2" s="62"/>
    </x:row>
    <x:row r="3">
      <x:c r="A3" s="63"/>
      <x:c r="B3" s="63"/>
      <x:c r="C3" s="63"/>
      <x:c r="D3" s="63"/>
      <x:c r="E3" s="63"/>
      <x:c r="F3" s="63"/>
      <x:c r="G3" s="63"/>
    </x:row>
    <x:row r="4" ht="30" customHeight="1">
      <x:c r="A4" s="64" t="str">
        <x:v>Sprint</x:v>
      </x:c>
      <x:c r="B4" s="66" t="str">
        <x:v>Goal</x:v>
      </x:c>
      <x:c r="C4" s="66" t="str">
        <x:v>Output</x:v>
      </x:c>
      <x:c r="D4" s="66" t="str">
        <x:v>Entry Criteria</x:v>
      </x:c>
      <x:c r="E4" s="66" t="str">
        <x:v>Exit Criteria</x:v>
      </x:c>
      <x:c r="F4" s="66" t="str">
        <x:v>Risiko/Keputusan</x:v>
      </x:c>
      <x:c r="G4" s="65" t="str">
        <x:v>Status</x:v>
      </x:c>
    </x:row>
    <x:row r="5" ht="60" customHeight="1">
      <x:c r="A5" s="79" t="str">
        <x:v>Sprint 0</x:v>
      </x:c>
      <x:c r="B5" s="79" t="str">
        <x:v>Mengunci fondasi</x:v>
      </x:c>
      <x:c r="C5" s="79" t="str">
        <x:v>SRS v2, ERD, backlog, repo, CI, environment, OpenAPI skeleton</x:v>
      </x:c>
      <x:c r="D5" s="79" t="str">
        <x:v>Keputusan scope tersedia</x:v>
      </x:c>
      <x:c r="E5" s="79" t="str">
        <x:v>Baseline disetujui; environment siap</x:v>
      </x:c>
      <x:c r="F5" s="79" t="str">
        <x:v>SOP dan stack final</x:v>
      </x:c>
      <x:c r="G5" s="79" t="str">
        <x:v>Dikerjakan</x:v>
      </x:c>
    </x:row>
    <x:row r="6" ht="60" customHeight="1">
      <x:c r="A6" s="80" t="str">
        <x:v>Sprint 1</x:v>
      </x:c>
      <x:c r="B6" s="80" t="str">
        <x:v>Identitas dan master</x:v>
      </x:c>
      <x:c r="C6" s="80" t="str">
        <x:v>Login, RBAC, penerbit, kategori/konten, Tim Distribusi</x:v>
      </x:c>
      <x:c r="D6" s="80" t="str">
        <x:v>Sprint 0 selesai</x:v>
      </x:c>
      <x:c r="E6" s="80" t="str">
        <x:v>CRUD dan permission negatif lulus</x:v>
      </x:c>
      <x:c r="F6" s="80" t="str">
        <x:v>Daftar dokumen penerbit</x:v>
      </x:c>
      <x:c r="G6" s="80" t="str">
        <x:v>Belum Mulai</x:v>
      </x:c>
    </x:row>
    <x:row r="7" ht="60" customHeight="1">
      <x:c r="A7" s="80" t="str">
        <x:v>Sprint 2</x:v>
      </x:c>
      <x:c r="B7" s="80" t="str">
        <x:v>Pengajuan dan verifikasi</x:v>
      </x:c>
      <x:c r="C7" s="80" t="str">
        <x:v>Portal/admin input, sampel file, antrean, Tugas Saya</x:v>
      </x:c>
      <x:c r="D7" s="80" t="str">
        <x:v>Master tersedia</x:v>
      </x:c>
      <x:c r="E7" s="80" t="str">
        <x:v>Jalur submit dan revisi lulus E2E</x:v>
      </x:c>
      <x:c r="F7" s="80" t="str">
        <x:v>Istilah status SOP</x:v>
      </x:c>
      <x:c r="G7" s="80" t="str">
        <x:v>Belum Mulai</x:v>
      </x:c>
    </x:row>
    <x:row r="8" ht="60" customHeight="1">
      <x:c r="A8" s="80" t="str">
        <x:v>Sprint 3</x:v>
      </x:c>
      <x:c r="B8" s="80" t="str">
        <x:v>Tarif dan pembayaran</x:v>
      </x:c>
      <x:c r="C8" s="80" t="str">
        <x:v>Snapshot tarif/SLA, kalender kerja, billing manual</x:v>
      </x:c>
      <x:c r="D8" s="80" t="str">
        <x:v>Pengajuan tervalidasi</x:v>
      </x:c>
      <x:c r="E8" s="80" t="str">
        <x:v>Rekonsiliasi kalkulasi dan billing lulus</x:v>
      </x:c>
      <x:c r="F8" s="80" t="str">
        <x:v>Tarif/SLA resmi</x:v>
      </x:c>
      <x:c r="G8" s="80" t="str">
        <x:v>Belum Mulai</x:v>
      </x:c>
    </x:row>
    <x:row r="9" ht="60" customHeight="1">
      <x:c r="A9" s="80" t="str">
        <x:v>Sprint 4</x:v>
      </x:c>
      <x:c r="B9" s="80" t="str">
        <x:v>Distribusi dan tashih</x:v>
      </x:c>
      <x:c r="C9" s="80" t="str">
        <x:v>Penugasan awal/perbaikan/dumi, iterasi, hasil</x:v>
      </x:c>
      <x:c r="D9" s="80" t="str">
        <x:v>Pembayaran terkonfirmasi</x:v>
      </x:c>
      <x:c r="E9" s="80" t="str">
        <x:v>Jalur revisi berulang dan selesai lulus</x:v>
      </x:c>
      <x:c r="F9" s="80" t="str">
        <x:v>Beban kerja dan wewenang ketua</x:v>
      </x:c>
      <x:c r="G9" s="80" t="str">
        <x:v>Belum Mulai</x:v>
      </x:c>
    </x:row>
    <x:row r="10" ht="60" customHeight="1">
      <x:c r="A10" s="80" t="str">
        <x:v>Sprint 5</x:v>
      </x:c>
      <x:c r="B10" s="80" t="str">
        <x:v>Dokumentasi dan dokumen</x:v>
      </x:c>
      <x:c r="C10" s="80" t="str">
        <x:v>Checklist, arsip, PDF, versioning, signatory, QR</x:v>
      </x:c>
      <x:c r="D10" s="80" t="str">
        <x:v>Hasil tashih tersedia</x:v>
      </x:c>
      <x:c r="E10" s="80" t="str">
        <x:v>Dokumen aktif/versi lama dan QR tervalidasi</x:v>
      </x:c>
      <x:c r="F10" s="80" t="str">
        <x:v>Penandatangan dan template resmi</x:v>
      </x:c>
      <x:c r="G10" s="80" t="str">
        <x:v>Belum Mulai</x:v>
      </x:c>
    </x:row>
    <x:row r="11" ht="60" customHeight="1">
      <x:c r="A11" s="80" t="str">
        <x:v>Sprint 6</x:v>
      </x:c>
      <x:c r="B11" s="80" t="str">
        <x:v>Laporan dan hardening</x:v>
      </x:c>
      <x:c r="C11" s="80" t="str">
        <x:v>Dashboard, ekspor, audit, security, UAT</x:v>
      </x:c>
      <x:c r="D11" s="80" t="str">
        <x:v>Semua P0 selesai</x:v>
      </x:c>
      <x:c r="E11" s="80" t="str">
        <x:v>UAT diterima; defect kritis/tinggi nol</x:v>
      </x:c>
      <x:c r="F11" s="80" t="str">
        <x:v>Infrastruktur production</x:v>
      </x:c>
      <x:c r="G11" s="80" t="str">
        <x:v>Belum Mulai</x:v>
      </x:c>
    </x:row>
    <x:row r="12" ht="60" customHeight="1">
      <x:c r="A12" s="80" t="str">
        <x:v>Fase lanjut</x:v>
      </x:c>
      <x:c r="B12" s="80" t="str">
        <x:v>Integrasi eksternal</x:v>
      </x:c>
      <x:c r="C12" s="80" t="str">
        <x:v>SIMPONI, BSrE, SSO/SIMPEG</x:v>
      </x:c>
      <x:c r="D12" s="80" t="str">
        <x:v>Akses resmi tersedia</x:v>
      </x:c>
      <x:c r="E12" s="80" t="str">
        <x:v>Skenario integrasi dan fallback lulus</x:v>
      </x:c>
      <x:c r="F12" s="80" t="str">
        <x:v>Dokumentasi/API resmi</x:v>
      </x:c>
      <x:c r="G12" s="80" t="str">
        <x:v>Backlog Lanjut</x:v>
      </x:c>
    </x:row>
  </x:sheetData>
  <x:mergeCells>
    <x:mergeCell ref="A1:G1"/>
    <x:mergeCell ref="A2:G2"/>
  </x:mergeCells>
  <x:conditionalFormatting sqref="G5:G12">
    <x:cfRule type="containsText" dxfId="4" priority="1" operator="containsText" text="Selesai"/>
  </x:conditionalFormatting>
  <x:dataValidations count="1">
    <x:dataValidation type="list" sqref="G5:G12">
      <x:formula1>"Belum Mulai,Dikerjakan,Selesai,Terblokir,Backlog Lanjut"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42" hidden="0" customWidth="1"/>
    <x:col min="4" max="4" width="4" hidden="0" customWidth="1"/>
    <x:col min="5" max="5" width="25" hidden="0" customWidth="1"/>
    <x:col min="6" max="6" width="22" hidden="0" customWidth="1"/>
    <x:col min="7" max="7" width="28" hidden="0" customWidth="1"/>
    <x:col min="8" max="8" width="22" hidden="0" customWidth="1"/>
  </x:cols>
  <x:sheetData>
    <x:row r="1" ht="34" customHeight="1">
      <x:c r="A1" s="61" t="str">
        <x:v>STATUS, FILTER, DAN TRANSISI</x:v>
      </x:c>
      <x:c r="B1" s="61"/>
      <x:c r="C1" s="61"/>
      <x:c r="D1" s="61"/>
      <x:c r="E1" s="61"/>
      <x:c r="F1" s="61"/>
      <x:c r="G1" s="61"/>
      <x:c r="H1" s="61"/>
    </x:row>
    <x:row r="2" ht="28" customHeight="1">
      <x:c r="A2" s="62" t="str">
        <x:v>Catatan: “Tugas Saya” adalah filter kepemilikan berdasarkan verifier_id/assignee_id, bukan status lifecycle.</x:v>
      </x:c>
      <x:c r="B2" s="62"/>
      <x:c r="C2" s="62"/>
      <x:c r="D2" s="62"/>
      <x:c r="E2" s="62"/>
      <x:c r="F2" s="62"/>
      <x:c r="G2" s="62"/>
      <x:c r="H2" s="62"/>
    </x:row>
    <x:row r="3">
      <x:c r="A3" s="63"/>
      <x:c r="B3" s="63"/>
      <x:c r="C3" s="63"/>
      <x:c r="D3" s="63"/>
      <x:c r="E3" s="63"/>
      <x:c r="F3" s="63"/>
      <x:c r="G3" s="63"/>
      <x:c r="H3" s="63"/>
    </x:row>
    <x:row r="4" ht="30" customHeight="1">
      <x:c r="A4" s="64" t="str">
        <x:v>Kode</x:v>
      </x:c>
      <x:c r="B4" s="66" t="str">
        <x:v>Label</x:v>
      </x:c>
      <x:c r="C4" s="65" t="str">
        <x:v>Makna</x:v>
      </x:c>
      <x:c r="D4" s="63"/>
      <x:c r="E4" s="64" t="str">
        <x:v>Dari</x:v>
      </x:c>
      <x:c r="F4" s="66" t="str">
        <x:v>Aksi</x:v>
      </x:c>
      <x:c r="G4" s="66" t="str">
        <x:v>Ke</x:v>
      </x:c>
      <x:c r="H4" s="65" t="str">
        <x:v>Aktor</x:v>
      </x:c>
    </x:row>
    <x:row r="5" ht="34" customHeight="1">
      <x:c r="A5" s="79" t="str">
        <x:v>DRAFT</x:v>
      </x:c>
      <x:c r="B5" s="79" t="str">
        <x:v>Draft</x:v>
      </x:c>
      <x:c r="C5" s="79" t="str">
        <x:v>Data belum diajukan</x:v>
      </x:c>
      <x:c r="D5" s="63"/>
      <x:c r="E5" s="79" t="str">
        <x:v>DRAFT</x:v>
      </x:c>
      <x:c r="F5" s="79" t="str">
        <x:v>Ajukan</x:v>
      </x:c>
      <x:c r="G5" s="79" t="str">
        <x:v>READY_FOR_VERIFICATION</x:v>
      </x:c>
      <x:c r="H5" s="79" t="str">
        <x:v>Penerbit/Admin</x:v>
      </x:c>
    </x:row>
    <x:row r="6" ht="34" customHeight="1">
      <x:c r="A6" s="80" t="str">
        <x:v>READY_FOR_VERIFICATION</x:v>
      </x:c>
      <x:c r="B6" s="80" t="str">
        <x:v>Siap Diverifikasi</x:v>
      </x:c>
      <x:c r="C6" s="80" t="str">
        <x:v>Menunggu pemeriksaan berkas</x:v>
      </x:c>
      <x:c r="D6" s="63"/>
      <x:c r="E6" s="80" t="str">
        <x:v>READY_FOR_VERIFICATION</x:v>
      </x:c>
      <x:c r="F6" s="80" t="str">
        <x:v>Mulai verifikasi</x:v>
      </x:c>
      <x:c r="G6" s="80" t="str">
        <x:v>IN_VERIFICATION</x:v>
      </x:c>
      <x:c r="H6" s="80" t="str">
        <x:v>Verifikator</x:v>
      </x:c>
    </x:row>
    <x:row r="7" ht="34" customHeight="1">
      <x:c r="A7" s="80" t="str">
        <x:v>IN_VERIFICATION</x:v>
      </x:c>
      <x:c r="B7" s="80" t="str">
        <x:v>Sedang Diproses</x:v>
      </x:c>
      <x:c r="C7" s="80" t="str">
        <x:v>Berkas sedang diperiksa</x:v>
      </x:c>
      <x:c r="D7" s="63"/>
      <x:c r="E7" s="80" t="str">
        <x:v>IN_VERIFICATION</x:v>
      </x:c>
      <x:c r="F7" s="80" t="str">
        <x:v>Minta perbaikan</x:v>
      </x:c>
      <x:c r="G7" s="80" t="str">
        <x:v>REVISION_REQUIRED</x:v>
      </x:c>
      <x:c r="H7" s="80" t="str">
        <x:v>Verifikator</x:v>
      </x:c>
    </x:row>
    <x:row r="8" ht="34" customHeight="1">
      <x:c r="A8" s="80" t="str">
        <x:v>REVISION_REQUIRED</x:v>
      </x:c>
      <x:c r="B8" s="80" t="str">
        <x:v>Perlu Perbaikan</x:v>
      </x:c>
      <x:c r="C8" s="80" t="str">
        <x:v>Menunggu perbaikan/kelengkapan</x:v>
      </x:c>
      <x:c r="D8" s="63"/>
      <x:c r="E8" s="80" t="str">
        <x:v>REVISION_REQUIRED</x:v>
      </x:c>
      <x:c r="F8" s="80" t="str">
        <x:v>Ajukan kembali</x:v>
      </x:c>
      <x:c r="G8" s="80" t="str">
        <x:v>READY_FOR_VERIFICATION</x:v>
      </x:c>
      <x:c r="H8" s="80" t="str">
        <x:v>Penerbit/Admin</x:v>
      </x:c>
    </x:row>
    <x:row r="9" ht="34" customHeight="1">
      <x:c r="A9" s="80" t="str">
        <x:v>WAITING_DISTRIBUTION</x:v>
      </x:c>
      <x:c r="B9" s="80" t="str">
        <x:v>Menunggu Distribusi</x:v>
      </x:c>
      <x:c r="C9" s="80" t="str">
        <x:v>Berkas sesuai dan siap ditugaskan</x:v>
      </x:c>
      <x:c r="D9" s="63"/>
      <x:c r="E9" s="80" t="str">
        <x:v>IN_VERIFICATION</x:v>
      </x:c>
      <x:c r="F9" s="80" t="str">
        <x:v>Berkas sesuai</x:v>
      </x:c>
      <x:c r="G9" s="80" t="str">
        <x:v>WAITING_DISTRIBUTION</x:v>
      </x:c>
      <x:c r="H9" s="80" t="str">
        <x:v>Verifikator</x:v>
      </x:c>
    </x:row>
    <x:row r="10" ht="34" customHeight="1">
      <x:c r="A10" s="80" t="str">
        <x:v>TASHIH_IN_PROGRESS</x:v>
      </x:c>
      <x:c r="B10" s="80" t="str">
        <x:v>Proses Pentashihan</x:v>
      </x:c>
      <x:c r="C10" s="80" t="str">
        <x:v>Tahap awal, perbaikan, atau dumi</x:v>
      </x:c>
      <x:c r="D10" s="63"/>
      <x:c r="E10" s="80" t="str">
        <x:v>WAITING_DISTRIBUTION</x:v>
      </x:c>
      <x:c r="F10" s="80" t="str">
        <x:v>Buat penugasan</x:v>
      </x:c>
      <x:c r="G10" s="80" t="str">
        <x:v>TASHIH_IN_PROGRESS</x:v>
      </x:c>
      <x:c r="H10" s="80" t="str">
        <x:v>Distributor</x:v>
      </x:c>
    </x:row>
    <x:row r="11" ht="34" customHeight="1">
      <x:c r="A11" s="80" t="str">
        <x:v>DOCUMENTATION</x:v>
      </x:c>
      <x:c r="B11" s="80" t="str">
        <x:v>Proses Dokumentasi</x:v>
      </x:c>
      <x:c r="C11" s="80" t="str">
        <x:v>Checklist dokumen sedang dilengkapi</x:v>
      </x:c>
      <x:c r="D11" s="63"/>
      <x:c r="E11" s="80" t="str">
        <x:v>TASHIH_IN_PROGRESS</x:v>
      </x:c>
      <x:c r="F11" s="80" t="str">
        <x:v>Perlu perbaikan</x:v>
      </x:c>
      <x:c r="G11" s="80" t="str">
        <x:v>TASHIH_IN_PROGRESS</x:v>
      </x:c>
      <x:c r="H11" s="80" t="str">
        <x:v>Pentashih/Distributor</x:v>
      </x:c>
    </x:row>
    <x:row r="12" ht="34" customHeight="1">
      <x:c r="A12" s="80" t="str">
        <x:v>COMPLETED</x:v>
      </x:c>
      <x:c r="B12" s="80" t="str">
        <x:v>Selesai Tashih</x:v>
      </x:c>
      <x:c r="C12" s="80" t="str">
        <x:v>Checklist lengkap dan hasil akhir tersedia</x:v>
      </x:c>
      <x:c r="D12" s="63"/>
      <x:c r="E12" s="80" t="str">
        <x:v>TASHIH_IN_PROGRESS</x:v>
      </x:c>
      <x:c r="F12" s="80" t="str">
        <x:v>Selesai tashih</x:v>
      </x:c>
      <x:c r="G12" s="80" t="str">
        <x:v>DOCUMENTATION</x:v>
      </x:c>
      <x:c r="H12" s="80" t="str">
        <x:v>Pentashih/Ketua</x:v>
      </x:c>
    </x:row>
    <x:row r="13" ht="34" customHeight="1">
      <x:c r="A13" s="80" t="str">
        <x:v>CANCELLED</x:v>
      </x:c>
      <x:c r="B13" s="80" t="str">
        <x:v>Dibatalkan</x:v>
      </x:c>
      <x:c r="C13" s="80" t="str">
        <x:v>Pengajuan dihentikan dengan alasan</x:v>
      </x:c>
      <x:c r="D13" s="63"/>
      <x:c r="E13" s="80" t="str">
        <x:v>DOCUMENTATION</x:v>
      </x:c>
      <x:c r="F13" s="80" t="str">
        <x:v>Checklist lengkap</x:v>
      </x:c>
      <x:c r="G13" s="80" t="str">
        <x:v>COMPLETED</x:v>
      </x:c>
      <x:c r="H13" s="80" t="str">
        <x:v>Dokumentator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42" hidden="0" customWidth="1"/>
    <x:col min="3" max="3" width="14" hidden="0" customWidth="1"/>
    <x:col min="4" max="4" width="16" hidden="0" customWidth="1"/>
    <x:col min="5" max="5" width="25" hidden="0" customWidth="1"/>
    <x:col min="6" max="6" width="11" hidden="0" customWidth="1"/>
    <x:col min="7" max="7" width="15" hidden="0" customWidth="1"/>
    <x:col min="8" max="8" width="11" hidden="0" customWidth="1"/>
  </x:cols>
  <x:sheetData>
    <x:row r="1" ht="34" customHeight="1">
      <x:c r="A1" s="61" t="str">
        <x:v>MASTER DATA SEED SEMENTARA</x:v>
      </x:c>
      <x:c r="B1" s="61"/>
      <x:c r="C1" s="61"/>
      <x:c r="D1" s="61"/>
      <x:c r="E1" s="61"/>
      <x:c r="F1" s="61"/>
      <x:c r="G1" s="61"/>
      <x:c r="H1" s="61"/>
    </x:row>
    <x:row r="2" ht="28" customHeight="1">
      <x:c r="A2" s="62" t="str">
        <x:v>Angka diturunkan dari referensi tampilan/prototipe dan wajib divalidasi terhadap SOP/regulasi sebelum production.</x:v>
      </x:c>
      <x:c r="B2" s="62"/>
      <x:c r="C2" s="62"/>
      <x:c r="D2" s="62"/>
      <x:c r="E2" s="62"/>
      <x:c r="F2" s="62"/>
      <x:c r="G2" s="62"/>
      <x:c r="H2" s="62"/>
    </x:row>
    <x:row r="3">
      <x:c r="A3" s="63"/>
      <x:c r="B3" s="63"/>
      <x:c r="C3" s="63"/>
      <x:c r="D3" s="63"/>
      <x:c r="E3" s="63"/>
      <x:c r="F3" s="63"/>
      <x:c r="G3" s="63"/>
      <x:c r="H3" s="63"/>
    </x:row>
    <x:row r="4" ht="30" customHeight="1">
      <x:c r="A4" s="64" t="str">
        <x:v>Kode</x:v>
      </x:c>
      <x:c r="B4" s="66" t="str">
        <x:v>Kategori</x:v>
      </x:c>
      <x:c r="C4" s="66" t="str">
        <x:v>Deskripsi</x:v>
      </x:c>
      <x:c r="D4" s="65" t="str">
        <x:v>Status</x:v>
      </x:c>
      <x:c r="E4" s="63"/>
      <x:c r="F4" s="63"/>
      <x:c r="G4" s="63"/>
      <x:c r="H4" s="63"/>
    </x:row>
    <x:row r="5">
      <x:c r="A5" s="79" t="str">
        <x:v>MC</x:v>
      </x:c>
      <x:c r="B5" s="79" t="str">
        <x:v>Mushaf Cetak</x:v>
      </x:c>
      <x:c r="C5" s="79" t="str">
        <x:v>Mushaf Al-Qur’an fisik cetak</x:v>
      </x:c>
      <x:c r="D5" s="79" t="str">
        <x:v>Aktif</x:v>
      </x:c>
      <x:c r="E5" s="63"/>
      <x:c r="F5" s="63"/>
      <x:c r="G5" s="63"/>
      <x:c r="H5" s="63"/>
    </x:row>
    <x:row r="6">
      <x:c r="A6" s="80" t="str">
        <x:v>MD</x:v>
      </x:c>
      <x:c r="B6" s="80" t="str">
        <x:v>Mushaf Digital</x:v>
      </x:c>
      <x:c r="C6" s="80" t="str">
        <x:v>Mushaf Al-Qur’an versi aplikasi/digital</x:v>
      </x:c>
      <x:c r="D6" s="80" t="str">
        <x:v>Aktif</x:v>
      </x:c>
      <x:c r="E6" s="63"/>
      <x:c r="F6" s="63"/>
      <x:c r="G6" s="63"/>
      <x:c r="H6" s="63"/>
    </x:row>
    <x:row r="7">
      <x:c r="A7" s="80" t="str">
        <x:v>MAV</x:v>
      </x:c>
      <x:c r="B7" s="80" t="str">
        <x:v>Mushaf Audio/Visual</x:v>
      </x:c>
      <x:c r="C7" s="80" t="str">
        <x:v>Media rekaman audio atau audio visual</x:v>
      </x:c>
      <x:c r="D7" s="80" t="str">
        <x:v>Aktif</x:v>
      </x:c>
      <x:c r="E7" s="63"/>
      <x:c r="F7" s="63"/>
      <x:c r="G7" s="63"/>
      <x:c r="H7" s="63"/>
    </x:row>
    <x:row r="8">
      <x:c r="A8" s="80" t="str">
        <x:v>L</x:v>
      </x:c>
      <x:c r="B8" s="80" t="str">
        <x:v>Lainnya</x:v>
      </x:c>
      <x:c r="C8" s="80" t="str">
        <x:v>Selain kategori utama</x:v>
      </x:c>
      <x:c r="D8" s="80" t="str">
        <x:v>Aktif</x:v>
      </x:c>
      <x:c r="E8" s="63"/>
      <x:c r="F8" s="63"/>
      <x:c r="G8" s="63"/>
      <x:c r="H8" s="63"/>
    </x:row>
    <x:row r="9">
      <x:c r="A9" s="63"/>
      <x:c r="B9" s="63"/>
      <x:c r="C9" s="63"/>
      <x:c r="D9" s="63"/>
      <x:c r="E9" s="63"/>
      <x:c r="F9" s="63"/>
      <x:c r="G9" s="63"/>
      <x:c r="H9" s="63"/>
    </x:row>
    <x:row r="10">
      <x:c r="A10" s="63"/>
      <x:c r="B10" s="63"/>
      <x:c r="C10" s="63"/>
      <x:c r="D10" s="63"/>
      <x:c r="E10" s="63"/>
      <x:c r="F10" s="63"/>
      <x:c r="G10" s="63"/>
      <x:c r="H10" s="63"/>
    </x:row>
    <x:row r="11" ht="30" customHeight="1">
      <x:c r="A11" s="64" t="str">
        <x:v>No</x:v>
      </x:c>
      <x:c r="B11" s="66" t="str">
        <x:v>Nama Konten</x:v>
      </x:c>
      <x:c r="C11" s="66" t="str">
        <x:v>Jenis</x:v>
      </x:c>
      <x:c r="D11" s="66" t="str">
        <x:v>PNBP</x:v>
      </x:c>
      <x:c r="E11" s="66" t="str">
        <x:v>Satuan</x:v>
      </x:c>
      <x:c r="F11" s="66" t="str">
        <x:v>Awal (HK)</x:v>
      </x:c>
      <x:c r="G11" s="66" t="str">
        <x:v>Perbaikan (HK)</x:v>
      </x:c>
      <x:c r="H11" s="65" t="str">
        <x:v>Dumi (HK)</x:v>
      </x:c>
    </x:row>
    <x:row r="12" ht="32" customHeight="1">
      <x:c r="A12" s="92" t="n">
        <x:v>1</x:v>
      </x:c>
      <x:c r="B12" s="79" t="str">
        <x:v>Mushaf Al-Qur’an 30 Juz</x:v>
      </x:c>
      <x:c r="C12" s="79" t="str">
        <x:v>Utama</x:v>
      </x:c>
      <x:c r="D12" s="97" t="n">
        <x:v>1000000</x:v>
      </x:c>
      <x:c r="E12" s="79" t="str">
        <x:v>per surat tanda tashih</x:v>
      </x:c>
      <x:c r="F12" s="92" t="n">
        <x:v>15</x:v>
      </x:c>
      <x:c r="G12" s="92" t="n">
        <x:v>7</x:v>
      </x:c>
      <x:c r="H12" s="92" t="n">
        <x:v>3</x:v>
      </x:c>
    </x:row>
    <x:row r="13" ht="32" customHeight="1">
      <x:c r="A13" s="95" t="n">
        <x:v>2</x:v>
      </x:c>
      <x:c r="B13" s="80" t="str">
        <x:v>Al-Qur’an Audio</x:v>
      </x:c>
      <x:c r="C13" s="80" t="str">
        <x:v>Utama</x:v>
      </x:c>
      <x:c r="D13" s="98" t="n">
        <x:v>1000000</x:v>
      </x:c>
      <x:c r="E13" s="80" t="str">
        <x:v>per surat tanda tashih</x:v>
      </x:c>
      <x:c r="F13" s="95" t="n">
        <x:v>15</x:v>
      </x:c>
      <x:c r="G13" s="95" t="n">
        <x:v>7</x:v>
      </x:c>
      <x:c r="H13" s="95" t="n">
        <x:v>3</x:v>
      </x:c>
    </x:row>
    <x:row r="14" ht="32" customHeight="1">
      <x:c r="A14" s="95" t="n">
        <x:v>3</x:v>
      </x:c>
      <x:c r="B14" s="80" t="str">
        <x:v>Al-Qur’an Audio dan Visual</x:v>
      </x:c>
      <x:c r="C14" s="80" t="str">
        <x:v>Utama</x:v>
      </x:c>
      <x:c r="D14" s="98" t="n">
        <x:v>2000000</x:v>
      </x:c>
      <x:c r="E14" s="80" t="str">
        <x:v>per surat tanda tashih</x:v>
      </x:c>
      <x:c r="F14" s="95" t="n">
        <x:v>30</x:v>
      </x:c>
      <x:c r="G14" s="95" t="n">
        <x:v>15</x:v>
      </x:c>
      <x:c r="H14" s="95" t="n">
        <x:v>7</x:v>
      </x:c>
    </x:row>
    <x:row r="15" ht="32" customHeight="1">
      <x:c r="A15" s="95" t="n">
        <x:v>4</x:v>
      </x:c>
      <x:c r="B15" s="80" t="str">
        <x:v>Mushaf Al-Qur’an dan Tafsirnya</x:v>
      </x:c>
      <x:c r="C15" s="80" t="str">
        <x:v>Utama</x:v>
      </x:c>
      <x:c r="D15" s="98" t="n">
        <x:v>2000000</x:v>
      </x:c>
      <x:c r="E15" s="80" t="str">
        <x:v>per surat tanda tashih</x:v>
      </x:c>
      <x:c r="F15" s="95" t="n">
        <x:v>30</x:v>
      </x:c>
      <x:c r="G15" s="95" t="n">
        <x:v>15</x:v>
      </x:c>
      <x:c r="H15" s="95" t="n">
        <x:v>7</x:v>
      </x:c>
    </x:row>
    <x:row r="16" ht="32" customHeight="1">
      <x:c r="A16" s="95" t="n">
        <x:v>5</x:v>
      </x:c>
      <x:c r="B16" s="80" t="str">
        <x:v>Buku/media yang memuat bagian Al-Qur’an</x:v>
      </x:c>
      <x:c r="C16" s="80" t="str">
        <x:v>Utama</x:v>
      </x:c>
      <x:c r="D16" s="98" t="n">
        <x:v>500000</x:v>
      </x:c>
      <x:c r="E16" s="80" t="str">
        <x:v>per surat tanda tashih</x:v>
      </x:c>
      <x:c r="F16" s="95" t="n">
        <x:v>7</x:v>
      </x:c>
      <x:c r="G16" s="95" t="n">
        <x:v>5</x:v>
      </x:c>
      <x:c r="H16" s="95" t="n">
        <x:v>4</x:v>
      </x:c>
    </x:row>
    <x:row r="17" ht="32" customHeight="1">
      <x:c r="A17" s="95" t="n">
        <x:v>6</x:v>
      </x:c>
      <x:c r="B17" s="80" t="str">
        <x:v>Konten tambahan: Terjemah</x:v>
      </x:c>
      <x:c r="C17" s="80" t="str">
        <x:v>Tambahan</x:v>
      </x:c>
      <x:c r="D17" s="98" t="n">
        <x:v>500000</x:v>
      </x:c>
      <x:c r="E17" s="80" t="str">
        <x:v>per surat tanda tashih</x:v>
      </x:c>
      <x:c r="F17" s="95" t="n">
        <x:v>7</x:v>
      </x:c>
      <x:c r="G17" s="95" t="n">
        <x:v>5</x:v>
      </x:c>
      <x:c r="H17" s="95" t="n">
        <x:v>4</x:v>
      </x:c>
    </x:row>
    <x:row r="18" ht="32" customHeight="1">
      <x:c r="A18" s="95" t="n">
        <x:v>7</x:v>
      </x:c>
      <x:c r="B18" s="80" t="str">
        <x:v>Konten tambahan: Tajwid warna</x:v>
      </x:c>
      <x:c r="C18" s="80" t="str">
        <x:v>Tambahan</x:v>
      </x:c>
      <x:c r="D18" s="98" t="n">
        <x:v>500000</x:v>
      </x:c>
      <x:c r="E18" s="80" t="str">
        <x:v>per surat tanda tashih</x:v>
      </x:c>
      <x:c r="F18" s="95" t="n">
        <x:v>7</x:v>
      </x:c>
      <x:c r="G18" s="95" t="n">
        <x:v>5</x:v>
      </x:c>
      <x:c r="H18" s="95" t="n">
        <x:v>4</x:v>
      </x:c>
    </x:row>
    <x:row r="19" ht="32" customHeight="1">
      <x:c r="A19" s="95" t="n">
        <x:v>8</x:v>
      </x:c>
      <x:c r="B19" s="80" t="str">
        <x:v>Konten tambahan: Kode tajwid</x:v>
      </x:c>
      <x:c r="C19" s="80" t="str">
        <x:v>Tambahan</x:v>
      </x:c>
      <x:c r="D19" s="98" t="n">
        <x:v>500000</x:v>
      </x:c>
      <x:c r="E19" s="80" t="str">
        <x:v>per surat tanda tashih</x:v>
      </x:c>
      <x:c r="F19" s="95" t="n">
        <x:v>7</x:v>
      </x:c>
      <x:c r="G19" s="95" t="n">
        <x:v>5</x:v>
      </x:c>
      <x:c r="H19" s="95" t="n">
        <x:v>4</x:v>
      </x:c>
    </x:row>
    <x:row r="20" ht="32" customHeight="1">
      <x:c r="A20" s="95" t="n">
        <x:v>9</x:v>
      </x:c>
      <x:c r="B20" s="80" t="str">
        <x:v>Konten tambahan: Transliterasi</x:v>
      </x:c>
      <x:c r="C20" s="80" t="str">
        <x:v>Tambahan</x:v>
      </x:c>
      <x:c r="D20" s="98" t="n">
        <x:v>500000</x:v>
      </x:c>
      <x:c r="E20" s="80" t="str">
        <x:v>per surat tanda tashih</x:v>
      </x:c>
      <x:c r="F20" s="95" t="n">
        <x:v>7</x:v>
      </x:c>
      <x:c r="G20" s="95" t="n">
        <x:v>5</x:v>
      </x:c>
      <x:c r="H20" s="95" t="n">
        <x:v>4</x:v>
      </x:c>
    </x:row>
    <x:row r="21" ht="32" customHeight="1">
      <x:c r="A21" s="95" t="n">
        <x:v>10</x:v>
      </x:c>
      <x:c r="B21" s="80" t="str">
        <x:v>Konten tambahan: Waqaf Ibtida’</x:v>
      </x:c>
      <x:c r="C21" s="80" t="str">
        <x:v>Tambahan</x:v>
      </x:c>
      <x:c r="D21" s="98" t="n">
        <x:v>500000</x:v>
      </x:c>
      <x:c r="E21" s="80" t="str">
        <x:v>per surat tanda tashih</x:v>
      </x:c>
      <x:c r="F21" s="95" t="n">
        <x:v>7</x:v>
      </x:c>
      <x:c r="G21" s="95" t="n">
        <x:v>5</x:v>
      </x:c>
      <x:c r="H21" s="95" t="n">
        <x:v>4</x:v>
      </x:c>
    </x:row>
    <x:row r="22" ht="32" customHeight="1">
      <x:c r="A22" s="95" t="n">
        <x:v>11</x:v>
      </x:c>
      <x:c r="B22" s="80" t="str">
        <x:v>Konten tambahan: Ragam Qira’at</x:v>
      </x:c>
      <x:c r="C22" s="80" t="str">
        <x:v>Tambahan</x:v>
      </x:c>
      <x:c r="D22" s="98" t="n">
        <x:v>500000</x:v>
      </x:c>
      <x:c r="E22" s="80" t="str">
        <x:v>per surat tanda tashih</x:v>
      </x:c>
      <x:c r="F22" s="95" t="n">
        <x:v>7</x:v>
      </x:c>
      <x:c r="G22" s="95" t="n">
        <x:v>5</x:v>
      </x:c>
      <x:c r="H22" s="95" t="n">
        <x:v>4</x:v>
      </x:c>
    </x:row>
    <x:row r="23" ht="32" customHeight="1">
      <x:c r="A23" s="95" t="n">
        <x:v>12</x:v>
      </x:c>
      <x:c r="B23" s="80" t="str">
        <x:v>Mushaf Al-Qur’an Braille</x:v>
      </x:c>
      <x:c r="C23" s="80" t="str">
        <x:v>Khusus</x:v>
      </x:c>
      <x:c r="D23" s="98" t="n">
        <x:v>0</x:v>
      </x:c>
      <x:c r="E23" s="80" t="str">
        <x:v>per surat tanda tashih</x:v>
      </x:c>
      <x:c r="F23" s="95" t="n">
        <x:v>60</x:v>
      </x:c>
      <x:c r="G23" s="95" t="n">
        <x:v>30</x:v>
      </x:c>
      <x:c r="H23" s="95" t="n">
        <x:v>15</x:v>
      </x:c>
    </x:row>
    <x:row r="24" ht="32" customHeight="1">
      <x:c r="A24" s="95" t="n">
        <x:v>13</x:v>
      </x:c>
      <x:c r="B24" s="80" t="str">
        <x:v>Mushaf Al-Qur’an Isyarat</x:v>
      </x:c>
      <x:c r="C24" s="80" t="str">
        <x:v>Khusus</x:v>
      </x:c>
      <x:c r="D24" s="98" t="n">
        <x:v>0</x:v>
      </x:c>
      <x:c r="E24" s="80" t="str">
        <x:v>per surat tanda tashih</x:v>
      </x:c>
      <x:c r="F24" s="95" t="n">
        <x:v>60</x:v>
      </x:c>
      <x:c r="G24" s="95" t="n">
        <x:v>30</x:v>
      </x:c>
      <x:c r="H24" s="95" t="n">
        <x:v>15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52" hidden="0" customWidth="1"/>
    <x:col min="3" max="3" width="10" hidden="0" customWidth="1"/>
    <x:col min="4" max="4" width="4" hidden="0" customWidth="1"/>
    <x:col min="5" max="5" width="7" hidden="0" customWidth="1"/>
    <x:col min="6" max="6" width="52" hidden="0" customWidth="1"/>
    <x:col min="7" max="7" width="10" hidden="0" customWidth="1"/>
  </x:cols>
  <x:sheetData>
    <x:row r="1" ht="34" customHeight="1">
      <x:c r="A1" s="61" t="str">
        <x:v>DEFINITION OF READY &amp; DEFINITION OF DONE</x:v>
      </x:c>
      <x:c r="B1" s="61"/>
      <x:c r="C1" s="61"/>
      <x:c r="D1" s="61"/>
      <x:c r="E1" s="61"/>
      <x:c r="F1" s="61"/>
      <x:c r="G1" s="63"/>
    </x:row>
    <x:row r="2" ht="28" customHeight="1">
      <x:c r="A2" s="62" t="str">
        <x:v>Checklist mutu minimum sebelum pekerjaan dimulai dan sebelum user story dinyatakan selesai.</x:v>
      </x:c>
      <x:c r="B2" s="62"/>
      <x:c r="C2" s="62"/>
      <x:c r="D2" s="62"/>
      <x:c r="E2" s="62"/>
      <x:c r="F2" s="62"/>
      <x:c r="G2" s="63"/>
    </x:row>
    <x:row r="3">
      <x:c r="A3" s="63"/>
      <x:c r="B3" s="63"/>
      <x:c r="C3" s="63"/>
      <x:c r="D3" s="63"/>
      <x:c r="E3" s="63"/>
      <x:c r="F3" s="63"/>
      <x:c r="G3" s="63"/>
    </x:row>
    <x:row r="4" ht="30" customHeight="1">
      <x:c r="A4" s="64" t="str">
        <x:v>#</x:v>
      </x:c>
      <x:c r="B4" s="66" t="str">
        <x:v>Definition of Ready</x:v>
      </x:c>
      <x:c r="C4" s="65" t="str">
        <x:v>Centang</x:v>
      </x:c>
      <x:c r="D4" s="63"/>
      <x:c r="E4" s="64" t="str">
        <x:v>#</x:v>
      </x:c>
      <x:c r="F4" s="66" t="str">
        <x:v>Definition of Done</x:v>
      </x:c>
      <x:c r="G4" s="65" t="str">
        <x:v>Centang</x:v>
      </x:c>
    </x:row>
    <x:row r="5" ht="30" customHeight="1">
      <x:c r="A5" s="79" t="n">
        <x:v>1</x:v>
      </x:c>
      <x:c r="B5" s="79" t="str">
        <x:v>Aktor, tujuan, dan manfaat user story jelas</x:v>
      </x:c>
      <x:c r="C5" s="79" t="str">
        <x:v>☐</x:v>
      </x:c>
      <x:c r="D5" s="63"/>
      <x:c r="E5" s="79" t="n">
        <x:v>1</x:v>
      </x:c>
      <x:c r="F5" s="79" t="str">
        <x:v>Implementasi lulus code review</x:v>
      </x:c>
      <x:c r="G5" s="79" t="str">
        <x:v>☐</x:v>
      </x:c>
    </x:row>
    <x:row r="6" ht="30" customHeight="1">
      <x:c r="A6" s="80" t="n">
        <x:v>2</x:v>
      </x:c>
      <x:c r="B6" s="80" t="str">
        <x:v>Acceptance criteria dapat diuji</x:v>
      </x:c>
      <x:c r="C6" s="80" t="str">
        <x:v>☐</x:v>
      </x:c>
      <x:c r="D6" s="63"/>
      <x:c r="E6" s="80" t="n">
        <x:v>2</x:v>
      </x:c>
      <x:c r="F6" s="80" t="str">
        <x:v>Unit/integration test relevan lulus</x:v>
      </x:c>
      <x:c r="G6" s="80" t="str">
        <x:v>☐</x:v>
      </x:c>
    </x:row>
    <x:row r="7" ht="30" customHeight="1">
      <x:c r="A7" s="80" t="n">
        <x:v>3</x:v>
      </x:c>
      <x:c r="B7" s="80" t="str">
        <x:v>Field, validasi, permission, dan status ditentukan</x:v>
      </x:c>
      <x:c r="C7" s="80" t="str">
        <x:v>☐</x:v>
      </x:c>
      <x:c r="D7" s="63"/>
      <x:c r="E7" s="80" t="n">
        <x:v>3</x:v>
      </x:c>
      <x:c r="F7" s="80" t="str">
        <x:v>Permission negatif dan transisi ilegal diuji</x:v>
      </x:c>
      <x:c r="G7" s="80" t="str">
        <x:v>☐</x:v>
      </x:c>
    </x:row>
    <x:row r="8" ht="30" customHeight="1">
      <x:c r="A8" s="80" t="n">
        <x:v>4</x:v>
      </x:c>
      <x:c r="B8" s="80" t="str">
        <x:v>Dependensi dan data uji tersedia</x:v>
      </x:c>
      <x:c r="C8" s="80" t="str">
        <x:v>☐</x:v>
      </x:c>
      <x:c r="D8" s="63"/>
      <x:c r="E8" s="80" t="n">
        <x:v>4</x:v>
      </x:c>
      <x:c r="F8" s="80" t="str">
        <x:v>Acceptance criteria tervalidasi di staging</x:v>
      </x:c>
      <x:c r="G8" s="80" t="str">
        <x:v>☐</x:v>
      </x:c>
    </x:row>
    <x:row r="9" ht="30" customHeight="1">
      <x:c r="A9" s="80" t="n">
        <x:v>5</x:v>
      </x:c>
      <x:c r="B9" s="80" t="str">
        <x:v>Wireframe/sketsa tersedia untuk layar P0</x:v>
      </x:c>
      <x:c r="C9" s="80" t="str">
        <x:v>☐</x:v>
      </x:c>
      <x:c r="D9" s="63"/>
      <x:c r="E9" s="80" t="n">
        <x:v>5</x:v>
      </x:c>
      <x:c r="F9" s="80" t="str">
        <x:v>Audit/notifikasi yang relevan berfungsi</x:v>
      </x:c>
      <x:c r="G9" s="80" t="str">
        <x:v>☐</x:v>
      </x:c>
    </x:row>
    <x:row r="10" ht="30" customHeight="1">
      <x:c r="A10" s="80" t="n">
        <x:v>6</x:v>
      </x:c>
      <x:c r="B10" s="80" t="str">
        <x:v>Pertanyaan stakeholder yang memblokir diselesaikan</x:v>
      </x:c>
      <x:c r="C10" s="80" t="str">
        <x:v>☐</x:v>
      </x:c>
      <x:c r="D10" s="63"/>
      <x:c r="E10" s="80" t="n">
        <x:v>6</x:v>
      </x:c>
      <x:c r="F10" s="80" t="str">
        <x:v>Dokumentasi API dan migration diperbarui</x:v>
      </x:c>
      <x:c r="G10" s="80" t="str">
        <x:v>☐</x:v>
      </x:c>
    </x:row>
    <x:row r="11" ht="30" customHeight="1">
      <x:c r="A11" s="80" t="n">
        <x:v>7</x:v>
      </x:c>
      <x:c r="B11" s="80" t="str">
        <x:v>Estimasi dan owner telah disepakati</x:v>
      </x:c>
      <x:c r="C11" s="80" t="str">
        <x:v>☐</x:v>
      </x:c>
      <x:c r="D11" s="63"/>
      <x:c r="E11" s="80" t="n">
        <x:v>7</x:v>
      </x:c>
      <x:c r="F11" s="80" t="str">
        <x:v>Bukti UAT tersedia bila diperlukan</x:v>
      </x:c>
      <x:c r="G11" s="80" t="str">
        <x:v>☐</x:v>
      </x:c>
    </x:row>
    <x:row r="12" ht="30" customHeight="1">
      <x:c r="A12" s="63"/>
      <x:c r="B12" s="63"/>
      <x:c r="C12" s="63"/>
      <x:c r="D12" s="63"/>
      <x:c r="E12" s="80" t="n">
        <x:v>8</x:v>
      </x:c>
      <x:c r="F12" s="80" t="str">
        <x:v>Tidak ada defect kritis/tinggi terbuka</x:v>
      </x:c>
      <x:c r="G12" s="80" t="str">
        <x:v>☐</x:v>
      </x:c>
    </x:row>
  </x:sheetData>
  <x:mergeCells>
    <x:mergeCell ref="A1:F1"/>
    <x:mergeCell ref="A2:F2"/>
  </x:mergeCells>
  <x:pageMargins left="0.7" right="0.7" top="0.75" bottom="0.75" header="0.3" footer="0.3"/>
</x:worksheet>
</file>